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sha\Downloads\DA ENTRI\"/>
    </mc:Choice>
  </mc:AlternateContent>
  <xr:revisionPtr revIDLastSave="0" documentId="13_ncr:1_{341A0959-C19B-4506-8946-F3C6DE76F6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1" r:id="rId1"/>
    <sheet name="Dataset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C156" i="3" l="1"/>
  <c r="C189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D79" i="3" a="1"/>
  <c r="D79" i="3" s="1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41" i="3"/>
  <c r="H50" i="2"/>
  <c r="H48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K11" i="2"/>
  <c r="I11" i="2"/>
  <c r="H6" i="2"/>
  <c r="H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<sst xmlns="http://schemas.openxmlformats.org/spreadsheetml/2006/main" count="753" uniqueCount="116">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</sst>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5C]* #,##0.00_-;\-[$$-45C]* #,##0.00_-;_-[$$-45C]* &quot;-&quot;??_-;_-@_-"/>
    <numFmt numFmtId="165" formatCode="[$$-45C]#,##0.00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0" fontId="9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0" borderId="1" xfId="0" applyFont="1" applyBorder="1"/>
    <xf numFmtId="0" fontId="5" fillId="3" borderId="1" xfId="0" applyFont="1" applyFill="1" applyBorder="1"/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B848E338-AB33-4604-B890-8199C18501E1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A2C1D95-7364-4FEE-8B26-E51A880902C5}">
  <we:reference id="wa200010215" version="1.0.0.0" store="en-US" storeType="OMEX"/>
  <we:alternateReferences>
    <we:reference id="WA200010215" version="1.0.0.0" store="" storeType="OMEX"/>
  </we:alternateReferences>
  <we:properties>
    <we:property name="bps.codex_control.document_id" value="&quot;2873b53d-cbf7-4975-8f0e-45dede005de0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149A1A52-3D9E-4EE0-B877-A5CCC18806CF}">
  <we:reference id="wa200005281" version="1.0.0.0" store="en-US" storeType="OMEX"/>
  <we:alternateReferences>
    <we:reference id="WA200005281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_xldudf_NUM_AI</we:customFunctionIds>
        <we:customFunctionIds>_xldudf_NUM_WRITE</we:customFunctionIds>
        <we:customFunctionIds>_xldudf_NUM_INFER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abSelected="1" workbookViewId="0">
      <selection activeCell="C25" sqref="C25:K25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sqref="A1:F35"/>
    </sheetView>
  </sheetViews>
  <sheetFormatPr defaultColWidth="12.5703125" defaultRowHeight="15" customHeight="1" x14ac:dyDescent="0.2"/>
  <cols>
    <col min="1" max="6" width="12.5703125" customWidth="1"/>
    <col min="8" max="8" width="119.42578125" bestFit="1" customWidth="1"/>
    <col min="9" max="9" width="18.28515625" bestFit="1" customWidth="1"/>
    <col min="11" max="11" width="14" bestFit="1" customWidth="1"/>
  </cols>
  <sheetData>
    <row r="1" spans="1:16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  <c r="H2" s="2" t="s">
        <v>1</v>
      </c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H3" s="9" t="s">
        <v>2</v>
      </c>
      <c r="P3" s="5"/>
    </row>
    <row r="4" spans="1:1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H4" s="10">
        <f>COUNTBLANK((D2:D35))</f>
        <v>3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H5" s="9" t="s">
        <v>3</v>
      </c>
    </row>
    <row r="6" spans="1:16" ht="15.75" customHeight="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  <c r="H6" s="10">
        <f>COUNTBLANK(F2:F35)</f>
        <v>4</v>
      </c>
    </row>
    <row r="7" spans="1:16" ht="15.75" customHeight="1" x14ac:dyDescent="0.2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  <c r="H8" s="2" t="s">
        <v>4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  <c r="H9" s="3" t="s">
        <v>5</v>
      </c>
    </row>
    <row r="10" spans="1:16" ht="15.75" customHeight="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  <c r="H10" s="7" t="s">
        <v>20</v>
      </c>
    </row>
    <row r="11" spans="1:16" ht="15.75" customHeight="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  <c r="H11" s="12" t="s">
        <v>26</v>
      </c>
      <c r="I11" t="str">
        <f>UPPER(H11)</f>
        <v>LAPTOP</v>
      </c>
      <c r="J11" t="str">
        <f>LOWER(H11)</f>
        <v>laptop</v>
      </c>
      <c r="K11" t="str">
        <f>PROPER(H11)</f>
        <v>Laptop</v>
      </c>
    </row>
    <row r="12" spans="1:16" ht="15.75" customHeight="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  <c r="H12" s="13" t="s">
        <v>30</v>
      </c>
      <c r="I12" t="str">
        <f t="shared" ref="I12:I44" si="0">UPPER(H12)</f>
        <v>SNEAKERS</v>
      </c>
      <c r="J12" t="str">
        <f t="shared" ref="J12:J44" si="1">LOWER(H12)</f>
        <v>sneakers</v>
      </c>
      <c r="K12" t="str">
        <f t="shared" ref="K12:K44" si="2">PROPER(H12)</f>
        <v>Sneakers</v>
      </c>
    </row>
    <row r="13" spans="1:16" ht="15.75" customHeight="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  <c r="H13" s="12" t="s">
        <v>34</v>
      </c>
      <c r="I13" t="str">
        <f t="shared" si="0"/>
        <v>COFFEE MAKER</v>
      </c>
      <c r="J13" t="str">
        <f t="shared" si="1"/>
        <v>coffee maker</v>
      </c>
      <c r="K13" t="str">
        <f t="shared" si="2"/>
        <v>Coffee Maker</v>
      </c>
    </row>
    <row r="14" spans="1:16" ht="15.75" customHeight="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  <c r="H14" s="13" t="s">
        <v>38</v>
      </c>
      <c r="I14" t="str">
        <f t="shared" si="0"/>
        <v>SMARTPHONE</v>
      </c>
      <c r="J14" t="str">
        <f t="shared" si="1"/>
        <v>smartphone</v>
      </c>
      <c r="K14" t="str">
        <f t="shared" si="2"/>
        <v>Smartphone</v>
      </c>
    </row>
    <row r="15" spans="1:16" ht="15.75" customHeight="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  <c r="H15" s="12" t="s">
        <v>41</v>
      </c>
      <c r="I15" t="str">
        <f t="shared" si="0"/>
        <v>BACKPACK</v>
      </c>
      <c r="J15" t="str">
        <f t="shared" si="1"/>
        <v>backpack</v>
      </c>
      <c r="K15" t="str">
        <f t="shared" si="2"/>
        <v>Backpack</v>
      </c>
    </row>
    <row r="16" spans="1:16" ht="15.75" customHeight="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  <c r="H16" s="13" t="s">
        <v>44</v>
      </c>
      <c r="I16" t="str">
        <f t="shared" si="0"/>
        <v>HEADPHONES</v>
      </c>
      <c r="J16" t="str">
        <f t="shared" si="1"/>
        <v>headphones</v>
      </c>
      <c r="K16" t="str">
        <f t="shared" si="2"/>
        <v>Headphones</v>
      </c>
    </row>
    <row r="17" spans="1:11" ht="15.75" customHeight="1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  <c r="H17" s="12" t="s">
        <v>48</v>
      </c>
      <c r="I17" t="str">
        <f t="shared" si="0"/>
        <v>T-SHIRT</v>
      </c>
      <c r="J17" t="str">
        <f t="shared" si="1"/>
        <v>t-shirt</v>
      </c>
      <c r="K17" t="str">
        <f t="shared" si="2"/>
        <v>T-Shirt</v>
      </c>
    </row>
    <row r="18" spans="1:11" ht="15.75" customHeight="1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  <c r="H18" s="13" t="s">
        <v>51</v>
      </c>
      <c r="I18" t="str">
        <f t="shared" si="0"/>
        <v>BLENDER</v>
      </c>
      <c r="J18" t="str">
        <f t="shared" si="1"/>
        <v>blender</v>
      </c>
      <c r="K18" t="str">
        <f t="shared" si="2"/>
        <v>Blender</v>
      </c>
    </row>
    <row r="19" spans="1:11" ht="15.75" customHeight="1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  <c r="H19" s="12" t="s">
        <v>54</v>
      </c>
      <c r="I19" t="str">
        <f t="shared" si="0"/>
        <v>TABLET</v>
      </c>
      <c r="J19" t="str">
        <f t="shared" si="1"/>
        <v>tablet</v>
      </c>
      <c r="K19" t="str">
        <f t="shared" si="2"/>
        <v>Tablet</v>
      </c>
    </row>
    <row r="20" spans="1:11" ht="15.75" customHeight="1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  <c r="H20" s="13" t="s">
        <v>57</v>
      </c>
      <c r="I20" t="str">
        <f t="shared" si="0"/>
        <v>HIKING BOOTS</v>
      </c>
      <c r="J20" t="str">
        <f t="shared" si="1"/>
        <v>hiking boots</v>
      </c>
      <c r="K20" t="str">
        <f t="shared" si="2"/>
        <v>Hiking Boots</v>
      </c>
    </row>
    <row r="21" spans="1:11" ht="15.75" customHeight="1" x14ac:dyDescent="0.2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  <c r="H21" s="12" t="s">
        <v>61</v>
      </c>
      <c r="I21" t="str">
        <f t="shared" si="0"/>
        <v>LAPTOP</v>
      </c>
      <c r="J21" t="str">
        <f t="shared" si="1"/>
        <v>laptop</v>
      </c>
      <c r="K21" t="str">
        <f t="shared" si="2"/>
        <v>Laptop</v>
      </c>
    </row>
    <row r="22" spans="1:11" ht="15.75" customHeight="1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  <c r="H22" s="13" t="s">
        <v>30</v>
      </c>
      <c r="I22" t="str">
        <f t="shared" si="0"/>
        <v>SNEAKERS</v>
      </c>
      <c r="J22" t="str">
        <f t="shared" si="1"/>
        <v>sneakers</v>
      </c>
      <c r="K22" t="str">
        <f t="shared" si="2"/>
        <v>Sneakers</v>
      </c>
    </row>
    <row r="23" spans="1:11" ht="15.75" customHeight="1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  <c r="H23" s="12" t="s">
        <v>34</v>
      </c>
      <c r="I23" t="str">
        <f t="shared" si="0"/>
        <v>COFFEE MAKER</v>
      </c>
      <c r="J23" t="str">
        <f t="shared" si="1"/>
        <v>coffee maker</v>
      </c>
      <c r="K23" t="str">
        <f t="shared" si="2"/>
        <v>Coffee Maker</v>
      </c>
    </row>
    <row r="24" spans="1:11" ht="15.75" customHeight="1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  <c r="H24" s="13" t="s">
        <v>67</v>
      </c>
      <c r="I24" t="str">
        <f t="shared" si="0"/>
        <v>SMARTWATCH</v>
      </c>
      <c r="J24" t="str">
        <f t="shared" si="1"/>
        <v>smartwatch</v>
      </c>
      <c r="K24" t="str">
        <f t="shared" si="2"/>
        <v>Smartwatch</v>
      </c>
    </row>
    <row r="25" spans="1:11" ht="15.75" customHeight="1" x14ac:dyDescent="0.2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  <c r="H25" s="12" t="s">
        <v>70</v>
      </c>
      <c r="I25" t="str">
        <f t="shared" si="0"/>
        <v>HEADPHONES</v>
      </c>
      <c r="J25" t="str">
        <f t="shared" si="1"/>
        <v>headphones</v>
      </c>
      <c r="K25" t="str">
        <f t="shared" si="2"/>
        <v>Headphones</v>
      </c>
    </row>
    <row r="26" spans="1:11" ht="15.75" customHeight="1" x14ac:dyDescent="0.2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  <c r="H26" s="13" t="s">
        <v>73</v>
      </c>
      <c r="I26" t="str">
        <f t="shared" si="0"/>
        <v>LAPTOP BAG</v>
      </c>
      <c r="J26" t="str">
        <f t="shared" si="1"/>
        <v>laptop bag</v>
      </c>
      <c r="K26" t="str">
        <f t="shared" si="2"/>
        <v>Laptop Bag</v>
      </c>
    </row>
    <row r="27" spans="1:11" ht="15.75" customHeight="1" x14ac:dyDescent="0.2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  <c r="H27" s="12" t="s">
        <v>67</v>
      </c>
      <c r="I27" t="str">
        <f t="shared" si="0"/>
        <v>SMARTWATCH</v>
      </c>
      <c r="J27" t="str">
        <f t="shared" si="1"/>
        <v>smartwatch</v>
      </c>
      <c r="K27" t="str">
        <f t="shared" si="2"/>
        <v>Smartwatch</v>
      </c>
    </row>
    <row r="28" spans="1:11" ht="15.75" customHeight="1" x14ac:dyDescent="0.2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  <c r="H28" s="13" t="s">
        <v>26</v>
      </c>
      <c r="I28" t="str">
        <f t="shared" si="0"/>
        <v>LAPTOP</v>
      </c>
      <c r="J28" t="str">
        <f t="shared" si="1"/>
        <v>laptop</v>
      </c>
      <c r="K28" t="str">
        <f t="shared" si="2"/>
        <v>Laptop</v>
      </c>
    </row>
    <row r="29" spans="1:11" ht="15.75" customHeight="1" x14ac:dyDescent="0.2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  <c r="H29" s="12" t="s">
        <v>81</v>
      </c>
      <c r="I29" t="str">
        <f t="shared" si="0"/>
        <v>SUNGLASSES</v>
      </c>
      <c r="J29" t="str">
        <f t="shared" si="1"/>
        <v>sunglasses</v>
      </c>
      <c r="K29" t="str">
        <f t="shared" si="2"/>
        <v>Sunglasses</v>
      </c>
    </row>
    <row r="30" spans="1:11" ht="15.75" customHeight="1" x14ac:dyDescent="0.2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  <c r="H30" s="13" t="s">
        <v>84</v>
      </c>
      <c r="I30" t="str">
        <f t="shared" si="0"/>
        <v>CAMPING TENT</v>
      </c>
      <c r="J30" t="str">
        <f t="shared" si="1"/>
        <v>camping tent</v>
      </c>
      <c r="K30" t="str">
        <f t="shared" si="2"/>
        <v>Camping Tent</v>
      </c>
    </row>
    <row r="31" spans="1:11" ht="15.75" customHeight="1" x14ac:dyDescent="0.2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  <c r="H31" s="12" t="s">
        <v>87</v>
      </c>
      <c r="I31" t="str">
        <f t="shared" si="0"/>
        <v>CAMERA</v>
      </c>
      <c r="J31" t="str">
        <f t="shared" si="1"/>
        <v>camera</v>
      </c>
      <c r="K31" t="str">
        <f t="shared" si="2"/>
        <v>Camera</v>
      </c>
    </row>
    <row r="32" spans="1:11" ht="15.75" customHeight="1" x14ac:dyDescent="0.2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  <c r="H32" s="13" t="s">
        <v>90</v>
      </c>
      <c r="I32" t="str">
        <f t="shared" si="0"/>
        <v>MICROWAVE</v>
      </c>
      <c r="J32" t="str">
        <f t="shared" si="1"/>
        <v>microwave</v>
      </c>
      <c r="K32" t="str">
        <f t="shared" si="2"/>
        <v>Microwave</v>
      </c>
    </row>
    <row r="33" spans="1:11" ht="15.75" customHeight="1" x14ac:dyDescent="0.2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  <c r="H33" s="12" t="s">
        <v>93</v>
      </c>
      <c r="I33" t="str">
        <f t="shared" si="0"/>
        <v>FITNESS TRACKER</v>
      </c>
      <c r="J33" t="str">
        <f t="shared" si="1"/>
        <v>fitness tracker</v>
      </c>
      <c r="K33" t="str">
        <f t="shared" si="2"/>
        <v>Fitness Tracker</v>
      </c>
    </row>
    <row r="34" spans="1:11" ht="15.75" customHeight="1" x14ac:dyDescent="0.2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  <c r="H34" s="13" t="s">
        <v>73</v>
      </c>
      <c r="I34" t="str">
        <f t="shared" si="0"/>
        <v>LAPTOP BAG</v>
      </c>
      <c r="J34" t="str">
        <f t="shared" si="1"/>
        <v>laptop bag</v>
      </c>
      <c r="K34" t="str">
        <f t="shared" si="2"/>
        <v>Laptop Bag</v>
      </c>
    </row>
    <row r="35" spans="1:11" ht="15.75" customHeight="1" x14ac:dyDescent="0.2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  <c r="H35" s="12" t="s">
        <v>96</v>
      </c>
      <c r="I35" t="str">
        <f t="shared" si="0"/>
        <v>SMARTPHONE</v>
      </c>
      <c r="J35" t="str">
        <f t="shared" si="1"/>
        <v>smartphone</v>
      </c>
      <c r="K35" t="str">
        <f t="shared" si="2"/>
        <v>Smartphone</v>
      </c>
    </row>
    <row r="36" spans="1:11" ht="15.75" customHeight="1" x14ac:dyDescent="0.2">
      <c r="H36" s="13" t="s">
        <v>81</v>
      </c>
      <c r="I36" t="str">
        <f t="shared" si="0"/>
        <v>SUNGLASSES</v>
      </c>
      <c r="J36" t="str">
        <f t="shared" si="1"/>
        <v>sunglasses</v>
      </c>
      <c r="K36" t="str">
        <f t="shared" si="2"/>
        <v>Sunglasses</v>
      </c>
    </row>
    <row r="37" spans="1:11" ht="15.75" customHeight="1" x14ac:dyDescent="0.2">
      <c r="H37" s="12" t="s">
        <v>51</v>
      </c>
      <c r="I37" t="str">
        <f t="shared" si="0"/>
        <v>BLENDER</v>
      </c>
      <c r="J37" t="str">
        <f t="shared" si="1"/>
        <v>blender</v>
      </c>
      <c r="K37" t="str">
        <f t="shared" si="2"/>
        <v>Blender</v>
      </c>
    </row>
    <row r="38" spans="1:11" ht="15.75" customHeight="1" x14ac:dyDescent="0.2">
      <c r="H38" s="13" t="s">
        <v>70</v>
      </c>
      <c r="I38" t="str">
        <f t="shared" si="0"/>
        <v>HEADPHONES</v>
      </c>
      <c r="J38" t="str">
        <f t="shared" si="1"/>
        <v>headphones</v>
      </c>
      <c r="K38" t="str">
        <f t="shared" si="2"/>
        <v>Headphones</v>
      </c>
    </row>
    <row r="39" spans="1:11" ht="15.75" customHeight="1" x14ac:dyDescent="0.2">
      <c r="H39" s="12" t="s">
        <v>103</v>
      </c>
      <c r="I39" t="str">
        <f t="shared" si="0"/>
        <v>DRESS</v>
      </c>
      <c r="J39" t="str">
        <f t="shared" si="1"/>
        <v>dress</v>
      </c>
      <c r="K39" t="str">
        <f t="shared" si="2"/>
        <v>Dress</v>
      </c>
    </row>
    <row r="40" spans="1:11" ht="15.75" customHeight="1" x14ac:dyDescent="0.2">
      <c r="H40" s="13" t="s">
        <v>106</v>
      </c>
      <c r="I40" t="str">
        <f t="shared" si="0"/>
        <v>TOASTER</v>
      </c>
      <c r="J40" t="str">
        <f t="shared" si="1"/>
        <v>toaster</v>
      </c>
      <c r="K40" t="str">
        <f t="shared" si="2"/>
        <v>Toaster</v>
      </c>
    </row>
    <row r="41" spans="1:11" ht="15.75" customHeight="1" x14ac:dyDescent="0.2">
      <c r="H41" s="12" t="s">
        <v>93</v>
      </c>
      <c r="I41" t="str">
        <f t="shared" si="0"/>
        <v>FITNESS TRACKER</v>
      </c>
      <c r="J41" t="str">
        <f t="shared" si="1"/>
        <v>fitness tracker</v>
      </c>
      <c r="K41" t="str">
        <f t="shared" si="2"/>
        <v>Fitness Tracker</v>
      </c>
    </row>
    <row r="42" spans="1:11" ht="15.75" customHeight="1" x14ac:dyDescent="0.2">
      <c r="H42" s="13" t="s">
        <v>111</v>
      </c>
      <c r="I42" t="str">
        <f t="shared" si="0"/>
        <v>JEANS</v>
      </c>
      <c r="J42" t="str">
        <f t="shared" si="1"/>
        <v>jeans</v>
      </c>
      <c r="K42" t="str">
        <f t="shared" si="2"/>
        <v>Jeans</v>
      </c>
    </row>
    <row r="43" spans="1:11" ht="15.75" customHeight="1" x14ac:dyDescent="0.2">
      <c r="H43" s="12" t="s">
        <v>61</v>
      </c>
      <c r="I43" t="str">
        <f t="shared" si="0"/>
        <v>LAPTOP</v>
      </c>
      <c r="J43" t="str">
        <f t="shared" si="1"/>
        <v>laptop</v>
      </c>
      <c r="K43" t="str">
        <f t="shared" si="2"/>
        <v>Laptop</v>
      </c>
    </row>
    <row r="44" spans="1:11" ht="15.75" customHeight="1" x14ac:dyDescent="0.2">
      <c r="H44" s="13" t="s">
        <v>114</v>
      </c>
      <c r="I44" t="str">
        <f t="shared" si="0"/>
        <v>WATCH</v>
      </c>
      <c r="J44" t="str">
        <f t="shared" si="1"/>
        <v>watch</v>
      </c>
      <c r="K44" t="str">
        <f t="shared" si="2"/>
        <v>Watch</v>
      </c>
    </row>
    <row r="45" spans="1:11" ht="15.75" customHeight="1" x14ac:dyDescent="0.2"/>
    <row r="46" spans="1:11" ht="15.75" customHeight="1" x14ac:dyDescent="0.2"/>
    <row r="47" spans="1:11" ht="15.75" customHeight="1" x14ac:dyDescent="0.25">
      <c r="H47" s="3" t="s">
        <v>6</v>
      </c>
    </row>
    <row r="48" spans="1:11" ht="15.75" customHeight="1" x14ac:dyDescent="0.2">
      <c r="H48">
        <f>COUNTA(F2:F35)</f>
        <v>30</v>
      </c>
    </row>
    <row r="49" spans="8:8" ht="15.75" customHeight="1" x14ac:dyDescent="0.25">
      <c r="H49" s="3" t="s">
        <v>7</v>
      </c>
    </row>
    <row r="50" spans="8:8" ht="15.75" customHeight="1" x14ac:dyDescent="0.2">
      <c r="H50">
        <f>COUNTA(B2:B35)</f>
        <v>34</v>
      </c>
    </row>
    <row r="51" spans="8:8" ht="15.75" customHeight="1" x14ac:dyDescent="0.2"/>
    <row r="52" spans="8:8" ht="15.75" customHeight="1" x14ac:dyDescent="0.2"/>
    <row r="53" spans="8:8" ht="15.75" customHeight="1" x14ac:dyDescent="0.2"/>
    <row r="54" spans="8:8" ht="15.75" customHeight="1" x14ac:dyDescent="0.2"/>
    <row r="55" spans="8:8" ht="15.75" customHeight="1" x14ac:dyDescent="0.2"/>
    <row r="56" spans="8:8" ht="15.75" customHeight="1" x14ac:dyDescent="0.2"/>
    <row r="57" spans="8:8" ht="15.75" customHeight="1" x14ac:dyDescent="0.2"/>
    <row r="58" spans="8:8" ht="15.75" customHeight="1" x14ac:dyDescent="0.2"/>
    <row r="59" spans="8:8" ht="15.75" customHeight="1" x14ac:dyDescent="0.2"/>
    <row r="60" spans="8:8" ht="15.75" customHeight="1" x14ac:dyDescent="0.2"/>
    <row r="61" spans="8:8" ht="15.75" customHeight="1" x14ac:dyDescent="0.2"/>
    <row r="62" spans="8:8" ht="15.75" customHeight="1" x14ac:dyDescent="0.2"/>
    <row r="63" spans="8:8" ht="15.75" customHeight="1" x14ac:dyDescent="0.2"/>
    <row r="64" spans="8:8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4F6C-C01E-47F1-B982-B6D209048903}">
  <dimension ref="B2:J264"/>
  <sheetViews>
    <sheetView topLeftCell="A189" workbookViewId="0">
      <selection activeCell="B230" sqref="B230:G264"/>
    </sheetView>
  </sheetViews>
  <sheetFormatPr defaultRowHeight="12.75" x14ac:dyDescent="0.2"/>
  <cols>
    <col min="2" max="2" width="94.85546875" bestFit="1" customWidth="1"/>
    <col min="3" max="3" width="14" bestFit="1" customWidth="1"/>
    <col min="4" max="4" width="12.28515625" bestFit="1" customWidth="1"/>
    <col min="7" max="7" width="11.28515625" bestFit="1" customWidth="1"/>
  </cols>
  <sheetData>
    <row r="2" spans="2:7" ht="15.75" x14ac:dyDescent="0.25">
      <c r="B2" s="2" t="s">
        <v>8</v>
      </c>
    </row>
    <row r="3" spans="2:7" ht="15.75" x14ac:dyDescent="0.25">
      <c r="B3" s="3" t="s">
        <v>9</v>
      </c>
    </row>
    <row r="4" spans="2:7" x14ac:dyDescent="0.2">
      <c r="B4" s="14" t="s">
        <v>19</v>
      </c>
      <c r="C4" s="14" t="s">
        <v>20</v>
      </c>
      <c r="D4" s="14" t="s">
        <v>21</v>
      </c>
      <c r="E4" s="14" t="s">
        <v>22</v>
      </c>
      <c r="F4" s="14" t="s">
        <v>23</v>
      </c>
      <c r="G4" s="14" t="s">
        <v>24</v>
      </c>
    </row>
    <row r="5" spans="2:7" x14ac:dyDescent="0.2">
      <c r="B5" s="15" t="s">
        <v>25</v>
      </c>
      <c r="C5" s="15" t="s">
        <v>26</v>
      </c>
      <c r="D5" s="15" t="s">
        <v>27</v>
      </c>
      <c r="E5" s="15">
        <v>1000</v>
      </c>
      <c r="F5" s="15">
        <v>30</v>
      </c>
      <c r="G5" s="15" t="s">
        <v>28</v>
      </c>
    </row>
    <row r="6" spans="2:7" x14ac:dyDescent="0.2">
      <c r="B6" s="16" t="s">
        <v>29</v>
      </c>
      <c r="C6" s="16" t="s">
        <v>30</v>
      </c>
      <c r="D6" s="16" t="s">
        <v>31</v>
      </c>
      <c r="E6" s="16">
        <v>80</v>
      </c>
      <c r="F6" s="16">
        <v>15</v>
      </c>
      <c r="G6" s="16" t="s">
        <v>32</v>
      </c>
    </row>
    <row r="7" spans="2:7" x14ac:dyDescent="0.2">
      <c r="B7" s="15" t="s">
        <v>33</v>
      </c>
      <c r="C7" s="15" t="s">
        <v>34</v>
      </c>
      <c r="D7" s="15" t="s">
        <v>35</v>
      </c>
      <c r="E7" s="15">
        <v>130</v>
      </c>
      <c r="F7" s="15">
        <v>40</v>
      </c>
      <c r="G7" s="15" t="s">
        <v>36</v>
      </c>
    </row>
    <row r="8" spans="2:7" x14ac:dyDescent="0.2">
      <c r="B8" s="16" t="s">
        <v>37</v>
      </c>
      <c r="C8" s="16" t="s">
        <v>38</v>
      </c>
      <c r="D8" s="16" t="s">
        <v>39</v>
      </c>
      <c r="E8" s="16">
        <v>900</v>
      </c>
      <c r="F8" s="16">
        <v>25</v>
      </c>
      <c r="G8" s="16" t="s">
        <v>28</v>
      </c>
    </row>
    <row r="9" spans="2:7" x14ac:dyDescent="0.2">
      <c r="B9" s="15" t="s">
        <v>40</v>
      </c>
      <c r="C9" s="15" t="s">
        <v>41</v>
      </c>
      <c r="D9" s="15" t="s">
        <v>42</v>
      </c>
      <c r="E9" s="15">
        <v>70</v>
      </c>
      <c r="F9" s="15">
        <v>20</v>
      </c>
      <c r="G9" s="15"/>
    </row>
    <row r="10" spans="2:7" x14ac:dyDescent="0.2">
      <c r="B10" s="16" t="s">
        <v>43</v>
      </c>
      <c r="C10" s="16" t="s">
        <v>44</v>
      </c>
      <c r="D10" s="16" t="s">
        <v>45</v>
      </c>
      <c r="E10" s="16"/>
      <c r="F10" s="16">
        <v>45</v>
      </c>
      <c r="G10" s="16" t="s">
        <v>46</v>
      </c>
    </row>
    <row r="11" spans="2:7" x14ac:dyDescent="0.2">
      <c r="B11" s="15" t="s">
        <v>47</v>
      </c>
      <c r="C11" s="15" t="s">
        <v>48</v>
      </c>
      <c r="D11" s="15" t="s">
        <v>49</v>
      </c>
      <c r="E11" s="15">
        <v>30</v>
      </c>
      <c r="F11" s="15">
        <v>5</v>
      </c>
      <c r="G11" s="15" t="s">
        <v>32</v>
      </c>
    </row>
    <row r="12" spans="2:7" x14ac:dyDescent="0.2">
      <c r="B12" s="16" t="s">
        <v>50</v>
      </c>
      <c r="C12" s="16" t="s">
        <v>51</v>
      </c>
      <c r="D12" s="16" t="s">
        <v>52</v>
      </c>
      <c r="E12" s="16">
        <v>90</v>
      </c>
      <c r="F12" s="16">
        <v>35</v>
      </c>
      <c r="G12" s="16" t="s">
        <v>36</v>
      </c>
    </row>
    <row r="13" spans="2:7" x14ac:dyDescent="0.2">
      <c r="B13" s="15" t="s">
        <v>53</v>
      </c>
      <c r="C13" s="15" t="s">
        <v>54</v>
      </c>
      <c r="D13" s="15" t="s">
        <v>55</v>
      </c>
      <c r="E13" s="15">
        <v>500</v>
      </c>
      <c r="F13" s="15">
        <v>50</v>
      </c>
      <c r="G13" s="15" t="s">
        <v>28</v>
      </c>
    </row>
    <row r="14" spans="2:7" x14ac:dyDescent="0.2">
      <c r="B14" s="16" t="s">
        <v>56</v>
      </c>
      <c r="C14" s="16" t="s">
        <v>57</v>
      </c>
      <c r="D14" s="16" t="s">
        <v>58</v>
      </c>
      <c r="E14" s="16">
        <v>130</v>
      </c>
      <c r="F14" s="16">
        <v>10</v>
      </c>
      <c r="G14" s="16" t="s">
        <v>59</v>
      </c>
    </row>
    <row r="15" spans="2:7" x14ac:dyDescent="0.2">
      <c r="B15" s="15" t="s">
        <v>60</v>
      </c>
      <c r="C15" s="15" t="s">
        <v>61</v>
      </c>
      <c r="D15" s="15" t="s">
        <v>62</v>
      </c>
      <c r="E15" s="15">
        <v>950</v>
      </c>
      <c r="F15" s="15">
        <v>25</v>
      </c>
      <c r="G15" s="15" t="s">
        <v>28</v>
      </c>
    </row>
    <row r="16" spans="2:7" x14ac:dyDescent="0.2">
      <c r="B16" s="16" t="s">
        <v>63</v>
      </c>
      <c r="C16" s="16" t="s">
        <v>30</v>
      </c>
      <c r="D16" s="16" t="s">
        <v>49</v>
      </c>
      <c r="E16" s="16">
        <v>90</v>
      </c>
      <c r="F16" s="16">
        <v>40</v>
      </c>
      <c r="G16" s="16"/>
    </row>
    <row r="17" spans="2:7" x14ac:dyDescent="0.2">
      <c r="B17" s="15" t="s">
        <v>64</v>
      </c>
      <c r="C17" s="15" t="s">
        <v>34</v>
      </c>
      <c r="D17" s="15" t="s">
        <v>65</v>
      </c>
      <c r="E17" s="15">
        <v>120</v>
      </c>
      <c r="F17" s="15">
        <v>35</v>
      </c>
      <c r="G17" s="15"/>
    </row>
    <row r="18" spans="2:7" x14ac:dyDescent="0.2">
      <c r="B18" s="16" t="s">
        <v>66</v>
      </c>
      <c r="C18" s="16" t="s">
        <v>67</v>
      </c>
      <c r="D18" s="16" t="s">
        <v>68</v>
      </c>
      <c r="E18" s="16">
        <v>150</v>
      </c>
      <c r="F18" s="16">
        <v>15</v>
      </c>
      <c r="G18" s="16" t="s">
        <v>46</v>
      </c>
    </row>
    <row r="19" spans="2:7" x14ac:dyDescent="0.2">
      <c r="B19" s="15" t="s">
        <v>69</v>
      </c>
      <c r="C19" s="15" t="s">
        <v>70</v>
      </c>
      <c r="D19" s="15" t="s">
        <v>71</v>
      </c>
      <c r="E19" s="15">
        <v>250</v>
      </c>
      <c r="F19" s="15">
        <v>20</v>
      </c>
      <c r="G19" s="15" t="s">
        <v>46</v>
      </c>
    </row>
    <row r="20" spans="2:7" x14ac:dyDescent="0.2">
      <c r="B20" s="16" t="s">
        <v>72</v>
      </c>
      <c r="C20" s="16" t="s">
        <v>73</v>
      </c>
      <c r="D20" s="16" t="s">
        <v>74</v>
      </c>
      <c r="E20" s="16">
        <v>50</v>
      </c>
      <c r="F20" s="16">
        <v>35</v>
      </c>
      <c r="G20" s="16" t="s">
        <v>75</v>
      </c>
    </row>
    <row r="21" spans="2:7" x14ac:dyDescent="0.2">
      <c r="B21" s="15" t="s">
        <v>76</v>
      </c>
      <c r="C21" s="15" t="s">
        <v>67</v>
      </c>
      <c r="D21" s="15" t="s">
        <v>77</v>
      </c>
      <c r="E21" s="15">
        <v>160</v>
      </c>
      <c r="F21" s="15">
        <v>15</v>
      </c>
      <c r="G21" s="15" t="s">
        <v>46</v>
      </c>
    </row>
    <row r="22" spans="2:7" x14ac:dyDescent="0.2">
      <c r="B22" s="16" t="s">
        <v>78</v>
      </c>
      <c r="C22" s="16" t="s">
        <v>26</v>
      </c>
      <c r="D22" s="16" t="s">
        <v>79</v>
      </c>
      <c r="E22" s="16">
        <v>980</v>
      </c>
      <c r="F22" s="16">
        <v>10</v>
      </c>
      <c r="G22" s="16" t="s">
        <v>28</v>
      </c>
    </row>
    <row r="23" spans="2:7" x14ac:dyDescent="0.2">
      <c r="B23" s="15" t="s">
        <v>80</v>
      </c>
      <c r="C23" s="15" t="s">
        <v>81</v>
      </c>
      <c r="D23" s="15" t="s">
        <v>82</v>
      </c>
      <c r="E23" s="15">
        <v>150</v>
      </c>
      <c r="F23" s="15">
        <v>15</v>
      </c>
      <c r="G23" s="15" t="s">
        <v>32</v>
      </c>
    </row>
    <row r="24" spans="2:7" x14ac:dyDescent="0.2">
      <c r="B24" s="16" t="s">
        <v>83</v>
      </c>
      <c r="C24" s="16" t="s">
        <v>84</v>
      </c>
      <c r="D24" s="16" t="s">
        <v>85</v>
      </c>
      <c r="E24" s="16"/>
      <c r="F24" s="16">
        <v>10</v>
      </c>
      <c r="G24" s="16" t="s">
        <v>59</v>
      </c>
    </row>
    <row r="25" spans="2:7" x14ac:dyDescent="0.2">
      <c r="B25" s="15" t="s">
        <v>86</v>
      </c>
      <c r="C25" s="15" t="s">
        <v>87</v>
      </c>
      <c r="D25" s="15" t="s">
        <v>88</v>
      </c>
      <c r="E25" s="15">
        <v>700</v>
      </c>
      <c r="F25" s="15">
        <v>50</v>
      </c>
      <c r="G25" s="15" t="s">
        <v>28</v>
      </c>
    </row>
    <row r="26" spans="2:7" x14ac:dyDescent="0.2">
      <c r="B26" s="16" t="s">
        <v>89</v>
      </c>
      <c r="C26" s="16" t="s">
        <v>90</v>
      </c>
      <c r="D26" s="16" t="s">
        <v>91</v>
      </c>
      <c r="E26" s="16">
        <v>80</v>
      </c>
      <c r="F26" s="16">
        <v>20</v>
      </c>
      <c r="G26" s="16" t="s">
        <v>36</v>
      </c>
    </row>
    <row r="27" spans="2:7" x14ac:dyDescent="0.2">
      <c r="B27" s="15" t="s">
        <v>92</v>
      </c>
      <c r="C27" s="15" t="s">
        <v>93</v>
      </c>
      <c r="D27" s="15" t="s">
        <v>94</v>
      </c>
      <c r="E27" s="15">
        <v>150</v>
      </c>
      <c r="F27" s="15">
        <v>30</v>
      </c>
      <c r="G27" s="15"/>
    </row>
    <row r="28" spans="2:7" x14ac:dyDescent="0.2">
      <c r="B28" s="15" t="s">
        <v>95</v>
      </c>
      <c r="C28" s="15" t="s">
        <v>96</v>
      </c>
      <c r="D28" s="15" t="s">
        <v>97</v>
      </c>
      <c r="E28" s="15">
        <v>800</v>
      </c>
      <c r="F28" s="15">
        <v>45</v>
      </c>
      <c r="G28" s="15" t="s">
        <v>28</v>
      </c>
    </row>
    <row r="29" spans="2:7" x14ac:dyDescent="0.2">
      <c r="B29" s="16" t="s">
        <v>98</v>
      </c>
      <c r="C29" s="16" t="s">
        <v>81</v>
      </c>
      <c r="D29" s="16" t="s">
        <v>99</v>
      </c>
      <c r="E29" s="16"/>
      <c r="F29" s="16">
        <v>25</v>
      </c>
      <c r="G29" s="16" t="s">
        <v>32</v>
      </c>
    </row>
    <row r="30" spans="2:7" x14ac:dyDescent="0.2">
      <c r="B30" s="15" t="s">
        <v>100</v>
      </c>
      <c r="C30" s="15" t="s">
        <v>51</v>
      </c>
      <c r="D30" s="15" t="s">
        <v>101</v>
      </c>
      <c r="E30" s="15">
        <v>400</v>
      </c>
      <c r="F30" s="15">
        <v>40</v>
      </c>
      <c r="G30" s="15" t="s">
        <v>36</v>
      </c>
    </row>
    <row r="31" spans="2:7" x14ac:dyDescent="0.2">
      <c r="B31" s="15" t="s">
        <v>102</v>
      </c>
      <c r="C31" s="15" t="s">
        <v>103</v>
      </c>
      <c r="D31" s="15" t="s">
        <v>104</v>
      </c>
      <c r="E31" s="15">
        <v>60</v>
      </c>
      <c r="F31" s="15">
        <v>30</v>
      </c>
      <c r="G31" s="15" t="s">
        <v>32</v>
      </c>
    </row>
    <row r="32" spans="2:7" x14ac:dyDescent="0.2">
      <c r="B32" s="16" t="s">
        <v>105</v>
      </c>
      <c r="C32" s="16" t="s">
        <v>106</v>
      </c>
      <c r="D32" s="16" t="s">
        <v>107</v>
      </c>
      <c r="E32" s="16">
        <v>40</v>
      </c>
      <c r="F32" s="16">
        <v>10</v>
      </c>
      <c r="G32" s="16" t="s">
        <v>36</v>
      </c>
    </row>
    <row r="33" spans="2:10" x14ac:dyDescent="0.2">
      <c r="B33" s="15" t="s">
        <v>108</v>
      </c>
      <c r="C33" s="15" t="s">
        <v>93</v>
      </c>
      <c r="D33" s="15" t="s">
        <v>109</v>
      </c>
      <c r="E33" s="15">
        <v>130</v>
      </c>
      <c r="F33" s="15">
        <v>5</v>
      </c>
      <c r="G33" s="15" t="s">
        <v>28</v>
      </c>
    </row>
    <row r="34" spans="2:10" x14ac:dyDescent="0.2">
      <c r="B34" s="16" t="s">
        <v>110</v>
      </c>
      <c r="C34" s="16" t="s">
        <v>111</v>
      </c>
      <c r="D34" s="16" t="s">
        <v>112</v>
      </c>
      <c r="E34" s="16">
        <v>50</v>
      </c>
      <c r="F34" s="16">
        <v>50</v>
      </c>
      <c r="G34" s="16" t="s">
        <v>32</v>
      </c>
    </row>
    <row r="35" spans="2:10" x14ac:dyDescent="0.2">
      <c r="B35" s="16" t="s">
        <v>113</v>
      </c>
      <c r="C35" s="16" t="s">
        <v>114</v>
      </c>
      <c r="D35" s="16" t="s">
        <v>115</v>
      </c>
      <c r="E35" s="16">
        <v>100</v>
      </c>
      <c r="F35" s="16">
        <v>20</v>
      </c>
      <c r="G35" s="16" t="s">
        <v>75</v>
      </c>
    </row>
    <row r="38" spans="2:10" ht="15.75" x14ac:dyDescent="0.25">
      <c r="B38" s="2" t="s">
        <v>10</v>
      </c>
      <c r="C38" s="5"/>
      <c r="D38" s="5"/>
    </row>
    <row r="39" spans="2:10" ht="15.75" x14ac:dyDescent="0.25">
      <c r="B39" s="3" t="s">
        <v>11</v>
      </c>
      <c r="C39" s="5"/>
      <c r="D39" s="5"/>
      <c r="E39" s="5"/>
      <c r="F39" s="5"/>
      <c r="G39" s="5"/>
      <c r="H39" s="5"/>
      <c r="I39" s="5"/>
      <c r="J39" s="5"/>
    </row>
    <row r="40" spans="2:10" x14ac:dyDescent="0.2">
      <c r="B40" s="11" t="s">
        <v>19</v>
      </c>
    </row>
    <row r="41" spans="2:10" x14ac:dyDescent="0.2">
      <c r="B41" s="17" t="s">
        <v>25</v>
      </c>
      <c r="C41" s="19" t="str">
        <f>RIGHT(B41,2)</f>
        <v>US</v>
      </c>
      <c r="E41" t="str">
        <f>LEFT(B41,2)</f>
        <v>28</v>
      </c>
      <c r="F41" t="str">
        <f>MID(B41,4,3)</f>
        <v>JAN</v>
      </c>
    </row>
    <row r="42" spans="2:10" x14ac:dyDescent="0.2">
      <c r="B42" s="18" t="s">
        <v>29</v>
      </c>
      <c r="C42" s="19" t="str">
        <f t="shared" ref="C42:C74" si="0">RIGHT(B42,2)</f>
        <v>US</v>
      </c>
      <c r="E42" t="str">
        <f t="shared" ref="E42:E74" si="1">LEFT(B42,2)</f>
        <v>15</v>
      </c>
      <c r="F42" t="str">
        <f t="shared" ref="F42:F74" si="2">MID(B42,4,3)</f>
        <v>FEB</v>
      </c>
    </row>
    <row r="43" spans="2:10" x14ac:dyDescent="0.2">
      <c r="B43" s="17" t="s">
        <v>33</v>
      </c>
      <c r="C43" s="19" t="str">
        <f t="shared" si="0"/>
        <v>US</v>
      </c>
      <c r="E43" t="str">
        <f t="shared" si="1"/>
        <v>03</v>
      </c>
      <c r="F43" t="str">
        <f t="shared" si="2"/>
        <v>MAR</v>
      </c>
    </row>
    <row r="44" spans="2:10" x14ac:dyDescent="0.2">
      <c r="B44" s="18" t="s">
        <v>37</v>
      </c>
      <c r="C44" s="19" t="str">
        <f t="shared" si="0"/>
        <v>US</v>
      </c>
      <c r="E44" t="str">
        <f t="shared" si="1"/>
        <v>11</v>
      </c>
      <c r="F44" t="str">
        <f t="shared" si="2"/>
        <v>APR</v>
      </c>
    </row>
    <row r="45" spans="2:10" x14ac:dyDescent="0.2">
      <c r="B45" s="17" t="s">
        <v>40</v>
      </c>
      <c r="C45" s="19" t="str">
        <f t="shared" si="0"/>
        <v>US</v>
      </c>
      <c r="E45" t="str">
        <f t="shared" si="1"/>
        <v>22</v>
      </c>
      <c r="F45" t="str">
        <f t="shared" si="2"/>
        <v>MAY</v>
      </c>
    </row>
    <row r="46" spans="2:10" x14ac:dyDescent="0.2">
      <c r="B46" s="18" t="s">
        <v>43</v>
      </c>
      <c r="C46" s="19" t="str">
        <f t="shared" si="0"/>
        <v>UK</v>
      </c>
      <c r="E46" t="str">
        <f t="shared" si="1"/>
        <v>07</v>
      </c>
      <c r="F46" t="str">
        <f t="shared" si="2"/>
        <v>JUN</v>
      </c>
    </row>
    <row r="47" spans="2:10" x14ac:dyDescent="0.2">
      <c r="B47" s="17" t="s">
        <v>47</v>
      </c>
      <c r="C47" s="19" t="str">
        <f t="shared" si="0"/>
        <v>UK</v>
      </c>
      <c r="E47" t="str">
        <f t="shared" si="1"/>
        <v>19</v>
      </c>
      <c r="F47" t="str">
        <f t="shared" si="2"/>
        <v>JUL</v>
      </c>
    </row>
    <row r="48" spans="2:10" x14ac:dyDescent="0.2">
      <c r="B48" s="18" t="s">
        <v>50</v>
      </c>
      <c r="C48" s="19" t="str">
        <f t="shared" si="0"/>
        <v>UK</v>
      </c>
      <c r="E48" t="str">
        <f t="shared" si="1"/>
        <v>23</v>
      </c>
      <c r="F48" t="str">
        <f t="shared" si="2"/>
        <v>AUG</v>
      </c>
    </row>
    <row r="49" spans="2:6" x14ac:dyDescent="0.2">
      <c r="B49" s="17" t="s">
        <v>53</v>
      </c>
      <c r="C49" s="19" t="str">
        <f t="shared" si="0"/>
        <v>UK</v>
      </c>
      <c r="E49" t="str">
        <f t="shared" si="1"/>
        <v>05</v>
      </c>
      <c r="F49" t="str">
        <f t="shared" si="2"/>
        <v>SEP</v>
      </c>
    </row>
    <row r="50" spans="2:6" x14ac:dyDescent="0.2">
      <c r="B50" s="18" t="s">
        <v>56</v>
      </c>
      <c r="C50" s="19" t="str">
        <f t="shared" si="0"/>
        <v>UK</v>
      </c>
      <c r="E50" t="str">
        <f t="shared" si="1"/>
        <v>14</v>
      </c>
      <c r="F50" t="str">
        <f t="shared" si="2"/>
        <v>OCT</v>
      </c>
    </row>
    <row r="51" spans="2:6" x14ac:dyDescent="0.2">
      <c r="B51" s="17" t="s">
        <v>60</v>
      </c>
      <c r="C51" s="19" t="str">
        <f t="shared" si="0"/>
        <v>IN</v>
      </c>
      <c r="E51" t="str">
        <f t="shared" si="1"/>
        <v>17</v>
      </c>
      <c r="F51" t="str">
        <f t="shared" si="2"/>
        <v>JUN</v>
      </c>
    </row>
    <row r="52" spans="2:6" x14ac:dyDescent="0.2">
      <c r="B52" s="18" t="s">
        <v>63</v>
      </c>
      <c r="C52" s="19" t="str">
        <f t="shared" si="0"/>
        <v>AU</v>
      </c>
      <c r="E52" t="str">
        <f t="shared" si="1"/>
        <v>25</v>
      </c>
      <c r="F52" t="str">
        <f t="shared" si="2"/>
        <v>NOV</v>
      </c>
    </row>
    <row r="53" spans="2:6" x14ac:dyDescent="0.2">
      <c r="B53" s="17" t="s">
        <v>64</v>
      </c>
      <c r="C53" s="19" t="str">
        <f t="shared" si="0"/>
        <v>DE</v>
      </c>
      <c r="E53" t="str">
        <f t="shared" si="1"/>
        <v>08</v>
      </c>
      <c r="F53" t="str">
        <f t="shared" si="2"/>
        <v>DEC</v>
      </c>
    </row>
    <row r="54" spans="2:6" x14ac:dyDescent="0.2">
      <c r="B54" s="18" t="s">
        <v>66</v>
      </c>
      <c r="C54" s="19" t="str">
        <f t="shared" si="0"/>
        <v>CA</v>
      </c>
      <c r="E54" t="str">
        <f t="shared" si="1"/>
        <v>18</v>
      </c>
      <c r="F54" t="str">
        <f t="shared" si="2"/>
        <v>FEB</v>
      </c>
    </row>
    <row r="55" spans="2:6" x14ac:dyDescent="0.2">
      <c r="B55" s="17" t="s">
        <v>69</v>
      </c>
      <c r="C55" s="19" t="str">
        <f t="shared" si="0"/>
        <v>ES</v>
      </c>
      <c r="E55" t="str">
        <f t="shared" si="1"/>
        <v>16</v>
      </c>
      <c r="F55" t="str">
        <f t="shared" si="2"/>
        <v>APR</v>
      </c>
    </row>
    <row r="56" spans="2:6" x14ac:dyDescent="0.2">
      <c r="B56" s="18" t="s">
        <v>72</v>
      </c>
      <c r="C56" s="19" t="str">
        <f t="shared" si="0"/>
        <v>CA</v>
      </c>
      <c r="E56" t="str">
        <f t="shared" si="1"/>
        <v>21</v>
      </c>
      <c r="F56" t="str">
        <f t="shared" si="2"/>
        <v>AUG</v>
      </c>
    </row>
    <row r="57" spans="2:6" x14ac:dyDescent="0.2">
      <c r="B57" s="17" t="s">
        <v>76</v>
      </c>
      <c r="C57" s="19" t="str">
        <f t="shared" si="0"/>
        <v>CN</v>
      </c>
      <c r="E57" t="str">
        <f t="shared" si="1"/>
        <v>20</v>
      </c>
      <c r="F57" t="str">
        <f t="shared" si="2"/>
        <v>AUG</v>
      </c>
    </row>
    <row r="58" spans="2:6" x14ac:dyDescent="0.2">
      <c r="B58" s="18" t="s">
        <v>78</v>
      </c>
      <c r="C58" s="19" t="str">
        <f t="shared" si="0"/>
        <v>IT</v>
      </c>
      <c r="E58" t="str">
        <f t="shared" si="1"/>
        <v>27</v>
      </c>
      <c r="F58" t="str">
        <f t="shared" si="2"/>
        <v>JAN</v>
      </c>
    </row>
    <row r="59" spans="2:6" x14ac:dyDescent="0.2">
      <c r="B59" s="17" t="s">
        <v>80</v>
      </c>
      <c r="C59" s="19" t="str">
        <f t="shared" si="0"/>
        <v>UK</v>
      </c>
      <c r="E59" t="str">
        <f t="shared" si="1"/>
        <v>01</v>
      </c>
      <c r="F59" t="str">
        <f t="shared" si="2"/>
        <v>MAR</v>
      </c>
    </row>
    <row r="60" spans="2:6" x14ac:dyDescent="0.2">
      <c r="B60" s="18" t="s">
        <v>83</v>
      </c>
      <c r="C60" s="19" t="str">
        <f t="shared" si="0"/>
        <v>US</v>
      </c>
      <c r="E60" t="str">
        <f t="shared" si="1"/>
        <v>14</v>
      </c>
      <c r="F60" t="str">
        <f t="shared" si="2"/>
        <v>AUG</v>
      </c>
    </row>
    <row r="61" spans="2:6" x14ac:dyDescent="0.2">
      <c r="B61" s="17" t="s">
        <v>86</v>
      </c>
      <c r="C61" s="19" t="str">
        <f t="shared" si="0"/>
        <v>RU</v>
      </c>
      <c r="E61" t="str">
        <f t="shared" si="1"/>
        <v>14</v>
      </c>
      <c r="F61" t="str">
        <f t="shared" si="2"/>
        <v>MAY</v>
      </c>
    </row>
    <row r="62" spans="2:6" x14ac:dyDescent="0.2">
      <c r="B62" s="18" t="s">
        <v>89</v>
      </c>
      <c r="C62" s="19" t="str">
        <f t="shared" si="0"/>
        <v>CA</v>
      </c>
      <c r="E62" t="str">
        <f t="shared" si="1"/>
        <v>09</v>
      </c>
      <c r="F62" t="str">
        <f t="shared" si="2"/>
        <v>JAN</v>
      </c>
    </row>
    <row r="63" spans="2:6" x14ac:dyDescent="0.2">
      <c r="B63" s="17" t="s">
        <v>92</v>
      </c>
      <c r="C63" s="19" t="str">
        <f t="shared" si="0"/>
        <v>BR</v>
      </c>
      <c r="E63" t="str">
        <f t="shared" si="1"/>
        <v>19</v>
      </c>
      <c r="F63" t="str">
        <f t="shared" si="2"/>
        <v>JUL</v>
      </c>
    </row>
    <row r="64" spans="2:6" x14ac:dyDescent="0.2">
      <c r="B64" s="18" t="s">
        <v>72</v>
      </c>
      <c r="C64" s="19" t="str">
        <f t="shared" si="0"/>
        <v>CA</v>
      </c>
      <c r="E64" t="str">
        <f t="shared" si="1"/>
        <v>21</v>
      </c>
      <c r="F64" t="str">
        <f t="shared" si="2"/>
        <v>AUG</v>
      </c>
    </row>
    <row r="65" spans="2:8" x14ac:dyDescent="0.2">
      <c r="B65" s="17" t="s">
        <v>95</v>
      </c>
      <c r="C65" s="19" t="str">
        <f t="shared" si="0"/>
        <v>CA</v>
      </c>
      <c r="E65" t="str">
        <f t="shared" si="1"/>
        <v>29</v>
      </c>
      <c r="F65" t="str">
        <f t="shared" si="2"/>
        <v>SEP</v>
      </c>
    </row>
    <row r="66" spans="2:8" x14ac:dyDescent="0.2">
      <c r="B66" s="18" t="s">
        <v>98</v>
      </c>
      <c r="C66" s="19" t="str">
        <f t="shared" si="0"/>
        <v>CA</v>
      </c>
      <c r="E66" t="str">
        <f t="shared" si="1"/>
        <v>03</v>
      </c>
      <c r="F66" t="str">
        <f t="shared" si="2"/>
        <v>JUN</v>
      </c>
    </row>
    <row r="67" spans="2:8" x14ac:dyDescent="0.2">
      <c r="B67" s="17" t="s">
        <v>100</v>
      </c>
      <c r="C67" s="19" t="str">
        <f t="shared" si="0"/>
        <v>CA</v>
      </c>
      <c r="E67" t="str">
        <f t="shared" si="1"/>
        <v>11</v>
      </c>
      <c r="F67" t="str">
        <f t="shared" si="2"/>
        <v>JUL</v>
      </c>
    </row>
    <row r="68" spans="2:8" x14ac:dyDescent="0.2">
      <c r="B68" s="18" t="s">
        <v>69</v>
      </c>
      <c r="C68" s="19" t="str">
        <f t="shared" si="0"/>
        <v>ES</v>
      </c>
      <c r="E68" t="str">
        <f t="shared" si="1"/>
        <v>16</v>
      </c>
      <c r="F68" t="str">
        <f t="shared" si="2"/>
        <v>APR</v>
      </c>
    </row>
    <row r="69" spans="2:8" x14ac:dyDescent="0.2">
      <c r="B69" s="17" t="s">
        <v>102</v>
      </c>
      <c r="C69" s="19" t="str">
        <f t="shared" si="0"/>
        <v>CA</v>
      </c>
      <c r="E69" t="str">
        <f t="shared" si="1"/>
        <v>07</v>
      </c>
      <c r="F69" t="str">
        <f t="shared" si="2"/>
        <v>MAR</v>
      </c>
    </row>
    <row r="70" spans="2:8" x14ac:dyDescent="0.2">
      <c r="B70" s="18" t="s">
        <v>105</v>
      </c>
      <c r="C70" s="19" t="str">
        <f t="shared" si="0"/>
        <v>CA</v>
      </c>
      <c r="E70" t="str">
        <f t="shared" si="1"/>
        <v>13</v>
      </c>
      <c r="F70" t="str">
        <f t="shared" si="2"/>
        <v>APR</v>
      </c>
    </row>
    <row r="71" spans="2:8" x14ac:dyDescent="0.2">
      <c r="B71" s="17" t="s">
        <v>108</v>
      </c>
      <c r="C71" s="19" t="str">
        <f t="shared" si="0"/>
        <v>CA</v>
      </c>
      <c r="E71" t="str">
        <f t="shared" si="1"/>
        <v>24</v>
      </c>
      <c r="F71" t="str">
        <f t="shared" si="2"/>
        <v>MAY</v>
      </c>
    </row>
    <row r="72" spans="2:8" x14ac:dyDescent="0.2">
      <c r="B72" s="18" t="s">
        <v>110</v>
      </c>
      <c r="C72" s="19" t="str">
        <f t="shared" si="0"/>
        <v>CA</v>
      </c>
      <c r="E72" t="str">
        <f t="shared" si="1"/>
        <v>02</v>
      </c>
      <c r="F72" t="str">
        <f t="shared" si="2"/>
        <v>DEC</v>
      </c>
    </row>
    <row r="73" spans="2:8" x14ac:dyDescent="0.2">
      <c r="B73" s="17" t="s">
        <v>60</v>
      </c>
      <c r="C73" s="19" t="str">
        <f t="shared" si="0"/>
        <v>IN</v>
      </c>
      <c r="E73" t="str">
        <f t="shared" si="1"/>
        <v>17</v>
      </c>
      <c r="F73" t="str">
        <f t="shared" si="2"/>
        <v>JUN</v>
      </c>
    </row>
    <row r="74" spans="2:8" x14ac:dyDescent="0.2">
      <c r="B74" s="18" t="s">
        <v>113</v>
      </c>
      <c r="C74" s="19" t="str">
        <f t="shared" si="0"/>
        <v>FR</v>
      </c>
      <c r="E74" t="str">
        <f t="shared" si="1"/>
        <v>09</v>
      </c>
      <c r="F74" t="str">
        <f t="shared" si="2"/>
        <v>JUL</v>
      </c>
    </row>
    <row r="77" spans="2:8" ht="15.75" x14ac:dyDescent="0.25">
      <c r="B77" s="3" t="s">
        <v>12</v>
      </c>
      <c r="C77" s="5"/>
      <c r="D77" s="5"/>
      <c r="E77" s="5"/>
      <c r="F77" s="5"/>
      <c r="G77" s="5"/>
      <c r="H77" s="5"/>
    </row>
    <row r="78" spans="2:8" x14ac:dyDescent="0.2">
      <c r="B78" s="7" t="s">
        <v>20</v>
      </c>
      <c r="C78" s="7" t="s">
        <v>21</v>
      </c>
    </row>
    <row r="79" spans="2:8" x14ac:dyDescent="0.2">
      <c r="B79" s="5" t="s">
        <v>26</v>
      </c>
      <c r="C79" s="5" t="s">
        <v>27</v>
      </c>
      <c r="D79" t="e" cm="1">
        <f t="array" aca="1" ref="D79" ca="1">MERGE(B79:C112)</f>
        <v>#NAME?</v>
      </c>
    </row>
    <row r="80" spans="2:8" x14ac:dyDescent="0.2">
      <c r="B80" s="8" t="s">
        <v>30</v>
      </c>
      <c r="C80" s="8" t="s">
        <v>31</v>
      </c>
    </row>
    <row r="81" spans="2:3" x14ac:dyDescent="0.2">
      <c r="B81" s="5" t="s">
        <v>34</v>
      </c>
      <c r="C81" s="5" t="s">
        <v>35</v>
      </c>
    </row>
    <row r="82" spans="2:3" x14ac:dyDescent="0.2">
      <c r="B82" s="8" t="s">
        <v>38</v>
      </c>
      <c r="C82" s="8" t="s">
        <v>39</v>
      </c>
    </row>
    <row r="83" spans="2:3" x14ac:dyDescent="0.2">
      <c r="B83" s="5" t="s">
        <v>41</v>
      </c>
      <c r="C83" s="5" t="s">
        <v>42</v>
      </c>
    </row>
    <row r="84" spans="2:3" x14ac:dyDescent="0.2">
      <c r="B84" s="8" t="s">
        <v>44</v>
      </c>
      <c r="C84" s="8" t="s">
        <v>45</v>
      </c>
    </row>
    <row r="85" spans="2:3" x14ac:dyDescent="0.2">
      <c r="B85" s="5" t="s">
        <v>48</v>
      </c>
      <c r="C85" s="5" t="s">
        <v>49</v>
      </c>
    </row>
    <row r="86" spans="2:3" x14ac:dyDescent="0.2">
      <c r="B86" s="8" t="s">
        <v>51</v>
      </c>
      <c r="C86" s="8" t="s">
        <v>52</v>
      </c>
    </row>
    <row r="87" spans="2:3" x14ac:dyDescent="0.2">
      <c r="B87" s="5" t="s">
        <v>54</v>
      </c>
      <c r="C87" s="5" t="s">
        <v>55</v>
      </c>
    </row>
    <row r="88" spans="2:3" x14ac:dyDescent="0.2">
      <c r="B88" s="8" t="s">
        <v>57</v>
      </c>
      <c r="C88" s="8" t="s">
        <v>58</v>
      </c>
    </row>
    <row r="89" spans="2:3" x14ac:dyDescent="0.2">
      <c r="B89" s="5" t="s">
        <v>61</v>
      </c>
      <c r="C89" s="5" t="s">
        <v>62</v>
      </c>
    </row>
    <row r="90" spans="2:3" x14ac:dyDescent="0.2">
      <c r="B90" s="8" t="s">
        <v>30</v>
      </c>
      <c r="C90" s="8" t="s">
        <v>49</v>
      </c>
    </row>
    <row r="91" spans="2:3" x14ac:dyDescent="0.2">
      <c r="B91" s="5" t="s">
        <v>34</v>
      </c>
      <c r="C91" s="5" t="s">
        <v>65</v>
      </c>
    </row>
    <row r="92" spans="2:3" x14ac:dyDescent="0.2">
      <c r="B92" s="8" t="s">
        <v>67</v>
      </c>
      <c r="C92" s="8" t="s">
        <v>68</v>
      </c>
    </row>
    <row r="93" spans="2:3" x14ac:dyDescent="0.2">
      <c r="B93" s="5" t="s">
        <v>70</v>
      </c>
      <c r="C93" s="5" t="s">
        <v>71</v>
      </c>
    </row>
    <row r="94" spans="2:3" x14ac:dyDescent="0.2">
      <c r="B94" s="8" t="s">
        <v>73</v>
      </c>
      <c r="C94" s="8" t="s">
        <v>74</v>
      </c>
    </row>
    <row r="95" spans="2:3" x14ac:dyDescent="0.2">
      <c r="B95" s="5" t="s">
        <v>67</v>
      </c>
      <c r="C95" s="5" t="s">
        <v>77</v>
      </c>
    </row>
    <row r="96" spans="2:3" x14ac:dyDescent="0.2">
      <c r="B96" s="8" t="s">
        <v>26</v>
      </c>
      <c r="C96" s="8" t="s">
        <v>79</v>
      </c>
    </row>
    <row r="97" spans="2:3" x14ac:dyDescent="0.2">
      <c r="B97" s="5" t="s">
        <v>81</v>
      </c>
      <c r="C97" s="5" t="s">
        <v>82</v>
      </c>
    </row>
    <row r="98" spans="2:3" x14ac:dyDescent="0.2">
      <c r="B98" s="8" t="s">
        <v>84</v>
      </c>
      <c r="C98" s="8" t="s">
        <v>85</v>
      </c>
    </row>
    <row r="99" spans="2:3" x14ac:dyDescent="0.2">
      <c r="B99" s="5" t="s">
        <v>87</v>
      </c>
      <c r="C99" s="5" t="s">
        <v>88</v>
      </c>
    </row>
    <row r="100" spans="2:3" x14ac:dyDescent="0.2">
      <c r="B100" s="8" t="s">
        <v>90</v>
      </c>
      <c r="C100" s="8" t="s">
        <v>91</v>
      </c>
    </row>
    <row r="101" spans="2:3" x14ac:dyDescent="0.2">
      <c r="B101" s="5" t="s">
        <v>93</v>
      </c>
      <c r="C101" s="5" t="s">
        <v>94</v>
      </c>
    </row>
    <row r="102" spans="2:3" x14ac:dyDescent="0.2">
      <c r="B102" s="8" t="s">
        <v>73</v>
      </c>
      <c r="C102" s="8" t="s">
        <v>74</v>
      </c>
    </row>
    <row r="103" spans="2:3" x14ac:dyDescent="0.2">
      <c r="B103" s="5" t="s">
        <v>96</v>
      </c>
      <c r="C103" s="5" t="s">
        <v>97</v>
      </c>
    </row>
    <row r="104" spans="2:3" x14ac:dyDescent="0.2">
      <c r="B104" s="8" t="s">
        <v>81</v>
      </c>
      <c r="C104" s="8" t="s">
        <v>99</v>
      </c>
    </row>
    <row r="105" spans="2:3" x14ac:dyDescent="0.2">
      <c r="B105" s="5" t="s">
        <v>51</v>
      </c>
      <c r="C105" s="5" t="s">
        <v>101</v>
      </c>
    </row>
    <row r="106" spans="2:3" x14ac:dyDescent="0.2">
      <c r="B106" s="8" t="s">
        <v>70</v>
      </c>
      <c r="C106" s="8" t="s">
        <v>71</v>
      </c>
    </row>
    <row r="107" spans="2:3" x14ac:dyDescent="0.2">
      <c r="B107" s="5" t="s">
        <v>103</v>
      </c>
      <c r="C107" s="5" t="s">
        <v>104</v>
      </c>
    </row>
    <row r="108" spans="2:3" x14ac:dyDescent="0.2">
      <c r="B108" s="8" t="s">
        <v>106</v>
      </c>
      <c r="C108" s="8" t="s">
        <v>107</v>
      </c>
    </row>
    <row r="109" spans="2:3" x14ac:dyDescent="0.2">
      <c r="B109" s="5" t="s">
        <v>93</v>
      </c>
      <c r="C109" s="5" t="s">
        <v>109</v>
      </c>
    </row>
    <row r="110" spans="2:3" x14ac:dyDescent="0.2">
      <c r="B110" s="8" t="s">
        <v>111</v>
      </c>
      <c r="C110" s="8" t="s">
        <v>112</v>
      </c>
    </row>
    <row r="111" spans="2:3" x14ac:dyDescent="0.2">
      <c r="B111" s="5" t="s">
        <v>61</v>
      </c>
      <c r="C111" s="5" t="s">
        <v>62</v>
      </c>
    </row>
    <row r="112" spans="2:3" x14ac:dyDescent="0.2">
      <c r="B112" s="8" t="s">
        <v>114</v>
      </c>
      <c r="C112" s="8" t="s">
        <v>115</v>
      </c>
    </row>
    <row r="114" spans="2:6" x14ac:dyDescent="0.2">
      <c r="B114" s="5"/>
      <c r="C114" s="5"/>
      <c r="D114" s="5"/>
    </row>
    <row r="115" spans="2:6" ht="15.75" x14ac:dyDescent="0.25">
      <c r="B115" s="2" t="s">
        <v>13</v>
      </c>
      <c r="C115" s="5"/>
      <c r="D115" s="5"/>
    </row>
    <row r="116" spans="2:6" ht="15.75" x14ac:dyDescent="0.25">
      <c r="B116" s="3" t="s">
        <v>14</v>
      </c>
      <c r="C116" s="5"/>
      <c r="D116" s="5"/>
      <c r="E116" s="5"/>
      <c r="F116" s="5"/>
    </row>
    <row r="117" spans="2:6" x14ac:dyDescent="0.2">
      <c r="B117" s="11" t="s">
        <v>22</v>
      </c>
      <c r="C117" s="20"/>
    </row>
    <row r="118" spans="2:6" x14ac:dyDescent="0.2">
      <c r="B118" s="17">
        <v>1000</v>
      </c>
      <c r="C118" s="21">
        <f>B118</f>
        <v>1000</v>
      </c>
    </row>
    <row r="119" spans="2:6" x14ac:dyDescent="0.2">
      <c r="B119" s="18">
        <v>80</v>
      </c>
      <c r="C119" s="21">
        <f t="shared" ref="C119:C150" si="3">B119</f>
        <v>80</v>
      </c>
    </row>
    <row r="120" spans="2:6" x14ac:dyDescent="0.2">
      <c r="B120" s="17">
        <v>130</v>
      </c>
      <c r="C120" s="21">
        <f t="shared" si="3"/>
        <v>130</v>
      </c>
    </row>
    <row r="121" spans="2:6" x14ac:dyDescent="0.2">
      <c r="B121" s="18">
        <v>900</v>
      </c>
      <c r="C121" s="21">
        <f t="shared" si="3"/>
        <v>900</v>
      </c>
    </row>
    <row r="122" spans="2:6" x14ac:dyDescent="0.2">
      <c r="B122" s="17">
        <v>70</v>
      </c>
      <c r="C122" s="21">
        <f t="shared" si="3"/>
        <v>70</v>
      </c>
    </row>
    <row r="123" spans="2:6" x14ac:dyDescent="0.2">
      <c r="B123" s="18"/>
      <c r="C123" s="21">
        <f t="shared" si="3"/>
        <v>0</v>
      </c>
    </row>
    <row r="124" spans="2:6" x14ac:dyDescent="0.2">
      <c r="B124" s="17">
        <v>30</v>
      </c>
      <c r="C124" s="21">
        <f t="shared" si="3"/>
        <v>30</v>
      </c>
    </row>
    <row r="125" spans="2:6" x14ac:dyDescent="0.2">
      <c r="B125" s="18">
        <v>90</v>
      </c>
      <c r="C125" s="21">
        <f t="shared" si="3"/>
        <v>90</v>
      </c>
    </row>
    <row r="126" spans="2:6" x14ac:dyDescent="0.2">
      <c r="B126" s="17">
        <v>500</v>
      </c>
      <c r="C126" s="21">
        <f t="shared" si="3"/>
        <v>500</v>
      </c>
    </row>
    <row r="127" spans="2:6" x14ac:dyDescent="0.2">
      <c r="B127" s="18">
        <v>130</v>
      </c>
      <c r="C127" s="21">
        <f t="shared" si="3"/>
        <v>130</v>
      </c>
    </row>
    <row r="128" spans="2:6" x14ac:dyDescent="0.2">
      <c r="B128" s="17">
        <v>950</v>
      </c>
      <c r="C128" s="21">
        <f t="shared" si="3"/>
        <v>950</v>
      </c>
    </row>
    <row r="129" spans="2:3" x14ac:dyDescent="0.2">
      <c r="B129" s="18">
        <v>90</v>
      </c>
      <c r="C129" s="21">
        <f t="shared" si="3"/>
        <v>90</v>
      </c>
    </row>
    <row r="130" spans="2:3" x14ac:dyDescent="0.2">
      <c r="B130" s="17">
        <v>120</v>
      </c>
      <c r="C130" s="21">
        <f t="shared" si="3"/>
        <v>120</v>
      </c>
    </row>
    <row r="131" spans="2:3" x14ac:dyDescent="0.2">
      <c r="B131" s="18">
        <v>150</v>
      </c>
      <c r="C131" s="21">
        <f t="shared" si="3"/>
        <v>150</v>
      </c>
    </row>
    <row r="132" spans="2:3" x14ac:dyDescent="0.2">
      <c r="B132" s="17">
        <v>250</v>
      </c>
      <c r="C132" s="21">
        <f t="shared" si="3"/>
        <v>250</v>
      </c>
    </row>
    <row r="133" spans="2:3" x14ac:dyDescent="0.2">
      <c r="B133" s="18">
        <v>50</v>
      </c>
      <c r="C133" s="21">
        <f t="shared" si="3"/>
        <v>50</v>
      </c>
    </row>
    <row r="134" spans="2:3" x14ac:dyDescent="0.2">
      <c r="B134" s="17">
        <v>160</v>
      </c>
      <c r="C134" s="21">
        <f t="shared" si="3"/>
        <v>160</v>
      </c>
    </row>
    <row r="135" spans="2:3" x14ac:dyDescent="0.2">
      <c r="B135" s="18">
        <v>980</v>
      </c>
      <c r="C135" s="21">
        <f t="shared" si="3"/>
        <v>980</v>
      </c>
    </row>
    <row r="136" spans="2:3" x14ac:dyDescent="0.2">
      <c r="B136" s="17">
        <v>150</v>
      </c>
      <c r="C136" s="21">
        <f t="shared" si="3"/>
        <v>150</v>
      </c>
    </row>
    <row r="137" spans="2:3" x14ac:dyDescent="0.2">
      <c r="B137" s="18"/>
      <c r="C137" s="21">
        <f t="shared" si="3"/>
        <v>0</v>
      </c>
    </row>
    <row r="138" spans="2:3" x14ac:dyDescent="0.2">
      <c r="B138" s="17">
        <v>700</v>
      </c>
      <c r="C138" s="21">
        <f t="shared" si="3"/>
        <v>700</v>
      </c>
    </row>
    <row r="139" spans="2:3" x14ac:dyDescent="0.2">
      <c r="B139" s="18">
        <v>80</v>
      </c>
      <c r="C139" s="21">
        <f t="shared" si="3"/>
        <v>80</v>
      </c>
    </row>
    <row r="140" spans="2:3" x14ac:dyDescent="0.2">
      <c r="B140" s="17">
        <v>150</v>
      </c>
      <c r="C140" s="21">
        <f t="shared" si="3"/>
        <v>150</v>
      </c>
    </row>
    <row r="141" spans="2:3" x14ac:dyDescent="0.2">
      <c r="B141" s="18">
        <v>50</v>
      </c>
      <c r="C141" s="21">
        <f t="shared" si="3"/>
        <v>50</v>
      </c>
    </row>
    <row r="142" spans="2:3" x14ac:dyDescent="0.2">
      <c r="B142" s="17">
        <v>800</v>
      </c>
      <c r="C142" s="21">
        <f t="shared" si="3"/>
        <v>800</v>
      </c>
    </row>
    <row r="143" spans="2:3" x14ac:dyDescent="0.2">
      <c r="B143" s="18"/>
      <c r="C143" s="21">
        <f t="shared" si="3"/>
        <v>0</v>
      </c>
    </row>
    <row r="144" spans="2:3" x14ac:dyDescent="0.2">
      <c r="B144" s="17">
        <v>400</v>
      </c>
      <c r="C144" s="21">
        <f t="shared" si="3"/>
        <v>400</v>
      </c>
    </row>
    <row r="145" spans="2:8" x14ac:dyDescent="0.2">
      <c r="B145" s="18">
        <v>250</v>
      </c>
      <c r="C145" s="21">
        <f t="shared" si="3"/>
        <v>250</v>
      </c>
    </row>
    <row r="146" spans="2:8" x14ac:dyDescent="0.2">
      <c r="B146" s="17">
        <v>60</v>
      </c>
      <c r="C146" s="21">
        <f t="shared" si="3"/>
        <v>60</v>
      </c>
    </row>
    <row r="147" spans="2:8" x14ac:dyDescent="0.2">
      <c r="B147" s="18">
        <v>40</v>
      </c>
      <c r="C147" s="21">
        <f t="shared" si="3"/>
        <v>40</v>
      </c>
    </row>
    <row r="148" spans="2:8" x14ac:dyDescent="0.2">
      <c r="B148" s="17">
        <v>130</v>
      </c>
      <c r="C148" s="21">
        <f t="shared" si="3"/>
        <v>130</v>
      </c>
    </row>
    <row r="149" spans="2:8" x14ac:dyDescent="0.2">
      <c r="B149" s="18">
        <v>50</v>
      </c>
      <c r="C149" s="21">
        <f t="shared" si="3"/>
        <v>50</v>
      </c>
    </row>
    <row r="150" spans="2:8" x14ac:dyDescent="0.2">
      <c r="B150" s="17">
        <v>950</v>
      </c>
      <c r="C150" s="21">
        <f t="shared" si="3"/>
        <v>950</v>
      </c>
    </row>
    <row r="151" spans="2:8" x14ac:dyDescent="0.2">
      <c r="B151" s="18">
        <v>100</v>
      </c>
      <c r="C151" s="21">
        <f>B151</f>
        <v>100</v>
      </c>
    </row>
    <row r="154" spans="2:8" ht="15.75" x14ac:dyDescent="0.25">
      <c r="B154" s="3" t="s">
        <v>15</v>
      </c>
      <c r="C154" s="5"/>
      <c r="D154" s="5"/>
      <c r="E154" s="5"/>
      <c r="F154" s="5"/>
      <c r="G154" s="5"/>
      <c r="H154" s="5"/>
    </row>
    <row r="155" spans="2:8" x14ac:dyDescent="0.2">
      <c r="B155" s="7" t="s">
        <v>19</v>
      </c>
    </row>
    <row r="156" spans="2:8" x14ac:dyDescent="0.2">
      <c r="B156" s="12" t="s">
        <v>25</v>
      </c>
      <c r="C156" t="str">
        <f>LEFT(B156,6)</f>
        <v>28-JAN</v>
      </c>
    </row>
    <row r="157" spans="2:8" x14ac:dyDescent="0.2">
      <c r="B157" s="13" t="s">
        <v>29</v>
      </c>
      <c r="C157" t="str">
        <f t="shared" ref="C157:C188" si="4">LEFT(B157,6)</f>
        <v>15-FEB</v>
      </c>
    </row>
    <row r="158" spans="2:8" x14ac:dyDescent="0.2">
      <c r="B158" s="12" t="s">
        <v>33</v>
      </c>
      <c r="C158" t="str">
        <f t="shared" si="4"/>
        <v>03-MAR</v>
      </c>
    </row>
    <row r="159" spans="2:8" x14ac:dyDescent="0.2">
      <c r="B159" s="13" t="s">
        <v>37</v>
      </c>
      <c r="C159" t="str">
        <f t="shared" si="4"/>
        <v>11-APR</v>
      </c>
    </row>
    <row r="160" spans="2:8" x14ac:dyDescent="0.2">
      <c r="B160" s="12" t="s">
        <v>40</v>
      </c>
      <c r="C160" t="str">
        <f t="shared" si="4"/>
        <v>22-MAY</v>
      </c>
    </row>
    <row r="161" spans="2:3" x14ac:dyDescent="0.2">
      <c r="B161" s="13" t="s">
        <v>43</v>
      </c>
      <c r="C161" t="str">
        <f t="shared" si="4"/>
        <v>07-JUN</v>
      </c>
    </row>
    <row r="162" spans="2:3" x14ac:dyDescent="0.2">
      <c r="B162" s="12" t="s">
        <v>47</v>
      </c>
      <c r="C162" t="str">
        <f t="shared" si="4"/>
        <v>19-JUL</v>
      </c>
    </row>
    <row r="163" spans="2:3" x14ac:dyDescent="0.2">
      <c r="B163" s="13" t="s">
        <v>50</v>
      </c>
      <c r="C163" t="str">
        <f t="shared" si="4"/>
        <v>23-AUG</v>
      </c>
    </row>
    <row r="164" spans="2:3" x14ac:dyDescent="0.2">
      <c r="B164" s="12" t="s">
        <v>53</v>
      </c>
      <c r="C164" t="str">
        <f t="shared" si="4"/>
        <v>05-SEP</v>
      </c>
    </row>
    <row r="165" spans="2:3" x14ac:dyDescent="0.2">
      <c r="B165" s="13" t="s">
        <v>56</v>
      </c>
      <c r="C165" t="str">
        <f t="shared" si="4"/>
        <v>14-OCT</v>
      </c>
    </row>
    <row r="166" spans="2:3" x14ac:dyDescent="0.2">
      <c r="B166" s="12" t="s">
        <v>60</v>
      </c>
      <c r="C166" t="str">
        <f t="shared" si="4"/>
        <v>17-JUN</v>
      </c>
    </row>
    <row r="167" spans="2:3" x14ac:dyDescent="0.2">
      <c r="B167" s="13" t="s">
        <v>63</v>
      </c>
      <c r="C167" t="str">
        <f t="shared" si="4"/>
        <v>25-NOV</v>
      </c>
    </row>
    <row r="168" spans="2:3" x14ac:dyDescent="0.2">
      <c r="B168" s="12" t="s">
        <v>64</v>
      </c>
      <c r="C168" t="str">
        <f t="shared" si="4"/>
        <v>08-DEC</v>
      </c>
    </row>
    <row r="169" spans="2:3" x14ac:dyDescent="0.2">
      <c r="B169" s="13" t="s">
        <v>66</v>
      </c>
      <c r="C169" t="str">
        <f t="shared" si="4"/>
        <v>18-FEB</v>
      </c>
    </row>
    <row r="170" spans="2:3" x14ac:dyDescent="0.2">
      <c r="B170" s="12" t="s">
        <v>69</v>
      </c>
      <c r="C170" t="str">
        <f t="shared" si="4"/>
        <v>16-APR</v>
      </c>
    </row>
    <row r="171" spans="2:3" x14ac:dyDescent="0.2">
      <c r="B171" s="13" t="s">
        <v>72</v>
      </c>
      <c r="C171" t="str">
        <f t="shared" si="4"/>
        <v>21-AUG</v>
      </c>
    </row>
    <row r="172" spans="2:3" x14ac:dyDescent="0.2">
      <c r="B172" s="12" t="s">
        <v>76</v>
      </c>
      <c r="C172" t="str">
        <f t="shared" si="4"/>
        <v>20-AUG</v>
      </c>
    </row>
    <row r="173" spans="2:3" x14ac:dyDescent="0.2">
      <c r="B173" s="13" t="s">
        <v>78</v>
      </c>
      <c r="C173" t="str">
        <f t="shared" si="4"/>
        <v>27-JAN</v>
      </c>
    </row>
    <row r="174" spans="2:3" x14ac:dyDescent="0.2">
      <c r="B174" s="12" t="s">
        <v>80</v>
      </c>
      <c r="C174" t="str">
        <f t="shared" si="4"/>
        <v>01-MAR</v>
      </c>
    </row>
    <row r="175" spans="2:3" x14ac:dyDescent="0.2">
      <c r="B175" s="13" t="s">
        <v>83</v>
      </c>
      <c r="C175" t="str">
        <f t="shared" si="4"/>
        <v>14-AUG</v>
      </c>
    </row>
    <row r="176" spans="2:3" x14ac:dyDescent="0.2">
      <c r="B176" s="12" t="s">
        <v>86</v>
      </c>
      <c r="C176" t="str">
        <f t="shared" si="4"/>
        <v>14-MAY</v>
      </c>
    </row>
    <row r="177" spans="2:7" x14ac:dyDescent="0.2">
      <c r="B177" s="13" t="s">
        <v>89</v>
      </c>
      <c r="C177" t="str">
        <f t="shared" si="4"/>
        <v>09-JAN</v>
      </c>
    </row>
    <row r="178" spans="2:7" x14ac:dyDescent="0.2">
      <c r="B178" s="12" t="s">
        <v>92</v>
      </c>
      <c r="C178" t="str">
        <f t="shared" si="4"/>
        <v>19-JUL</v>
      </c>
    </row>
    <row r="179" spans="2:7" x14ac:dyDescent="0.2">
      <c r="B179" s="13" t="s">
        <v>72</v>
      </c>
      <c r="C179" t="str">
        <f t="shared" si="4"/>
        <v>21-AUG</v>
      </c>
    </row>
    <row r="180" spans="2:7" x14ac:dyDescent="0.2">
      <c r="B180" s="12" t="s">
        <v>95</v>
      </c>
      <c r="C180" t="str">
        <f t="shared" si="4"/>
        <v>29-SEP</v>
      </c>
    </row>
    <row r="181" spans="2:7" x14ac:dyDescent="0.2">
      <c r="B181" s="13" t="s">
        <v>98</v>
      </c>
      <c r="C181" t="str">
        <f t="shared" si="4"/>
        <v>03-JUN</v>
      </c>
    </row>
    <row r="182" spans="2:7" x14ac:dyDescent="0.2">
      <c r="B182" s="12" t="s">
        <v>100</v>
      </c>
      <c r="C182" t="str">
        <f t="shared" si="4"/>
        <v>11-JUL</v>
      </c>
    </row>
    <row r="183" spans="2:7" x14ac:dyDescent="0.2">
      <c r="B183" s="13" t="s">
        <v>69</v>
      </c>
      <c r="C183" t="str">
        <f t="shared" si="4"/>
        <v>16-APR</v>
      </c>
    </row>
    <row r="184" spans="2:7" x14ac:dyDescent="0.2">
      <c r="B184" s="12" t="s">
        <v>102</v>
      </c>
      <c r="C184" t="str">
        <f t="shared" si="4"/>
        <v>07-MAR</v>
      </c>
    </row>
    <row r="185" spans="2:7" x14ac:dyDescent="0.2">
      <c r="B185" s="13" t="s">
        <v>105</v>
      </c>
      <c r="C185" t="str">
        <f t="shared" si="4"/>
        <v>13-APR</v>
      </c>
    </row>
    <row r="186" spans="2:7" x14ac:dyDescent="0.2">
      <c r="B186" s="12" t="s">
        <v>108</v>
      </c>
      <c r="C186" t="str">
        <f t="shared" si="4"/>
        <v>24-MAY</v>
      </c>
    </row>
    <row r="187" spans="2:7" x14ac:dyDescent="0.2">
      <c r="B187" s="13" t="s">
        <v>110</v>
      </c>
      <c r="C187" t="str">
        <f t="shared" si="4"/>
        <v>02-DEC</v>
      </c>
    </row>
    <row r="188" spans="2:7" x14ac:dyDescent="0.2">
      <c r="B188" s="12" t="s">
        <v>60</v>
      </c>
      <c r="C188" t="str">
        <f t="shared" si="4"/>
        <v>17-JUN</v>
      </c>
    </row>
    <row r="189" spans="2:7" x14ac:dyDescent="0.2">
      <c r="B189" s="13" t="s">
        <v>113</v>
      </c>
      <c r="C189" t="str">
        <f>LEFT(B189,6)</f>
        <v>09-JUL</v>
      </c>
    </row>
    <row r="191" spans="2:7" ht="15.75" x14ac:dyDescent="0.25">
      <c r="B191" s="2" t="s">
        <v>16</v>
      </c>
      <c r="C191" s="5"/>
      <c r="D191" s="5"/>
    </row>
    <row r="192" spans="2:7" ht="15.75" x14ac:dyDescent="0.25">
      <c r="B192" s="3" t="s">
        <v>17</v>
      </c>
      <c r="C192" s="5"/>
      <c r="D192" s="5"/>
      <c r="E192" s="5"/>
      <c r="F192" s="5"/>
      <c r="G192" s="5"/>
    </row>
    <row r="193" spans="2:7" x14ac:dyDescent="0.2">
      <c r="B193" s="7" t="s">
        <v>19</v>
      </c>
      <c r="C193" s="7" t="s">
        <v>20</v>
      </c>
      <c r="D193" s="7" t="s">
        <v>21</v>
      </c>
      <c r="E193" s="7" t="s">
        <v>22</v>
      </c>
      <c r="F193" s="7" t="s">
        <v>23</v>
      </c>
      <c r="G193" s="7" t="s">
        <v>24</v>
      </c>
    </row>
    <row r="194" spans="2:7" x14ac:dyDescent="0.2">
      <c r="B194" s="5" t="s">
        <v>25</v>
      </c>
      <c r="C194" s="5" t="s">
        <v>26</v>
      </c>
      <c r="D194" s="5" t="s">
        <v>27</v>
      </c>
      <c r="E194" s="5">
        <v>1000</v>
      </c>
      <c r="F194" s="5">
        <v>30</v>
      </c>
      <c r="G194" s="5" t="s">
        <v>28</v>
      </c>
    </row>
    <row r="195" spans="2:7" x14ac:dyDescent="0.2">
      <c r="B195" s="8" t="s">
        <v>29</v>
      </c>
      <c r="C195" s="8" t="s">
        <v>30</v>
      </c>
      <c r="D195" s="8" t="s">
        <v>31</v>
      </c>
      <c r="E195" s="8">
        <v>80</v>
      </c>
      <c r="F195" s="8">
        <v>15</v>
      </c>
      <c r="G195" s="8" t="s">
        <v>32</v>
      </c>
    </row>
    <row r="196" spans="2:7" x14ac:dyDescent="0.2">
      <c r="B196" s="5" t="s">
        <v>33</v>
      </c>
      <c r="C196" s="5" t="s">
        <v>34</v>
      </c>
      <c r="D196" s="5" t="s">
        <v>35</v>
      </c>
      <c r="E196" s="5">
        <v>130</v>
      </c>
      <c r="F196" s="5">
        <v>40</v>
      </c>
      <c r="G196" s="5" t="s">
        <v>36</v>
      </c>
    </row>
    <row r="197" spans="2:7" x14ac:dyDescent="0.2">
      <c r="B197" s="8" t="s">
        <v>37</v>
      </c>
      <c r="C197" s="8" t="s">
        <v>38</v>
      </c>
      <c r="D197" s="8" t="s">
        <v>39</v>
      </c>
      <c r="E197" s="8">
        <v>900</v>
      </c>
      <c r="F197" s="8">
        <v>25</v>
      </c>
      <c r="G197" s="8" t="s">
        <v>28</v>
      </c>
    </row>
    <row r="198" spans="2:7" x14ac:dyDescent="0.2">
      <c r="B198" s="5" t="s">
        <v>40</v>
      </c>
      <c r="C198" s="5" t="s">
        <v>41</v>
      </c>
      <c r="D198" s="5" t="s">
        <v>42</v>
      </c>
      <c r="E198" s="5">
        <v>70</v>
      </c>
      <c r="F198" s="5">
        <v>20</v>
      </c>
      <c r="G198" s="5"/>
    </row>
    <row r="199" spans="2:7" x14ac:dyDescent="0.2">
      <c r="B199" s="8" t="s">
        <v>43</v>
      </c>
      <c r="C199" s="8" t="s">
        <v>44</v>
      </c>
      <c r="D199" s="8" t="s">
        <v>45</v>
      </c>
      <c r="E199" s="8"/>
      <c r="F199" s="8">
        <v>45</v>
      </c>
      <c r="G199" s="8" t="s">
        <v>46</v>
      </c>
    </row>
    <row r="200" spans="2:7" x14ac:dyDescent="0.2">
      <c r="B200" s="5" t="s">
        <v>47</v>
      </c>
      <c r="C200" s="5" t="s">
        <v>48</v>
      </c>
      <c r="D200" s="5" t="s">
        <v>49</v>
      </c>
      <c r="E200" s="5">
        <v>30</v>
      </c>
      <c r="F200" s="5">
        <v>5</v>
      </c>
      <c r="G200" s="5" t="s">
        <v>32</v>
      </c>
    </row>
    <row r="201" spans="2:7" x14ac:dyDescent="0.2">
      <c r="B201" s="8" t="s">
        <v>50</v>
      </c>
      <c r="C201" s="8" t="s">
        <v>51</v>
      </c>
      <c r="D201" s="8" t="s">
        <v>52</v>
      </c>
      <c r="E201" s="8">
        <v>90</v>
      </c>
      <c r="F201" s="8">
        <v>35</v>
      </c>
      <c r="G201" s="8" t="s">
        <v>36</v>
      </c>
    </row>
    <row r="202" spans="2:7" x14ac:dyDescent="0.2">
      <c r="B202" s="5" t="s">
        <v>53</v>
      </c>
      <c r="C202" s="5" t="s">
        <v>54</v>
      </c>
      <c r="D202" s="5" t="s">
        <v>55</v>
      </c>
      <c r="E202" s="5">
        <v>500</v>
      </c>
      <c r="F202" s="5">
        <v>50</v>
      </c>
      <c r="G202" s="5" t="s">
        <v>28</v>
      </c>
    </row>
    <row r="203" spans="2:7" x14ac:dyDescent="0.2">
      <c r="B203" s="8" t="s">
        <v>56</v>
      </c>
      <c r="C203" s="8" t="s">
        <v>57</v>
      </c>
      <c r="D203" s="8" t="s">
        <v>58</v>
      </c>
      <c r="E203" s="8">
        <v>130</v>
      </c>
      <c r="F203" s="8">
        <v>10</v>
      </c>
      <c r="G203" s="8" t="s">
        <v>59</v>
      </c>
    </row>
    <row r="204" spans="2:7" x14ac:dyDescent="0.2">
      <c r="B204" s="5" t="s">
        <v>60</v>
      </c>
      <c r="C204" s="5" t="s">
        <v>61</v>
      </c>
      <c r="D204" s="5" t="s">
        <v>62</v>
      </c>
      <c r="E204" s="5">
        <v>950</v>
      </c>
      <c r="F204" s="5">
        <v>25</v>
      </c>
      <c r="G204" s="5" t="s">
        <v>28</v>
      </c>
    </row>
    <row r="205" spans="2:7" x14ac:dyDescent="0.2">
      <c r="B205" s="8" t="s">
        <v>63</v>
      </c>
      <c r="C205" s="8" t="s">
        <v>30</v>
      </c>
      <c r="D205" s="8" t="s">
        <v>49</v>
      </c>
      <c r="E205" s="8">
        <v>90</v>
      </c>
      <c r="F205" s="8">
        <v>40</v>
      </c>
      <c r="G205" s="8"/>
    </row>
    <row r="206" spans="2:7" x14ac:dyDescent="0.2">
      <c r="B206" s="5" t="s">
        <v>64</v>
      </c>
      <c r="C206" s="5" t="s">
        <v>34</v>
      </c>
      <c r="D206" s="5" t="s">
        <v>65</v>
      </c>
      <c r="E206" s="5">
        <v>120</v>
      </c>
      <c r="F206" s="5">
        <v>35</v>
      </c>
      <c r="G206" s="5"/>
    </row>
    <row r="207" spans="2:7" x14ac:dyDescent="0.2">
      <c r="B207" s="8" t="s">
        <v>66</v>
      </c>
      <c r="C207" s="8" t="s">
        <v>67</v>
      </c>
      <c r="D207" s="8" t="s">
        <v>68</v>
      </c>
      <c r="E207" s="8">
        <v>150</v>
      </c>
      <c r="F207" s="8">
        <v>15</v>
      </c>
      <c r="G207" s="8" t="s">
        <v>46</v>
      </c>
    </row>
    <row r="208" spans="2:7" x14ac:dyDescent="0.2">
      <c r="B208" s="5" t="s">
        <v>69</v>
      </c>
      <c r="C208" s="5" t="s">
        <v>70</v>
      </c>
      <c r="D208" s="5" t="s">
        <v>71</v>
      </c>
      <c r="E208" s="5">
        <v>250</v>
      </c>
      <c r="F208" s="5">
        <v>20</v>
      </c>
      <c r="G208" s="5" t="s">
        <v>46</v>
      </c>
    </row>
    <row r="209" spans="2:7" x14ac:dyDescent="0.2">
      <c r="B209" s="8" t="s">
        <v>72</v>
      </c>
      <c r="C209" s="8" t="s">
        <v>73</v>
      </c>
      <c r="D209" s="8" t="s">
        <v>74</v>
      </c>
      <c r="E209" s="8">
        <v>50</v>
      </c>
      <c r="F209" s="8">
        <v>35</v>
      </c>
      <c r="G209" s="8" t="s">
        <v>75</v>
      </c>
    </row>
    <row r="210" spans="2:7" x14ac:dyDescent="0.2">
      <c r="B210" s="5" t="s">
        <v>76</v>
      </c>
      <c r="C210" s="5" t="s">
        <v>67</v>
      </c>
      <c r="D210" s="5" t="s">
        <v>77</v>
      </c>
      <c r="E210" s="5">
        <v>160</v>
      </c>
      <c r="F210" s="5">
        <v>15</v>
      </c>
      <c r="G210" s="5" t="s">
        <v>46</v>
      </c>
    </row>
    <row r="211" spans="2:7" x14ac:dyDescent="0.2">
      <c r="B211" s="8" t="s">
        <v>78</v>
      </c>
      <c r="C211" s="8" t="s">
        <v>26</v>
      </c>
      <c r="D211" s="8" t="s">
        <v>79</v>
      </c>
      <c r="E211" s="8">
        <v>980</v>
      </c>
      <c r="F211" s="8">
        <v>10</v>
      </c>
      <c r="G211" s="8" t="s">
        <v>28</v>
      </c>
    </row>
    <row r="212" spans="2:7" x14ac:dyDescent="0.2">
      <c r="B212" s="5" t="s">
        <v>80</v>
      </c>
      <c r="C212" s="5" t="s">
        <v>81</v>
      </c>
      <c r="D212" s="5" t="s">
        <v>82</v>
      </c>
      <c r="E212" s="5">
        <v>150</v>
      </c>
      <c r="F212" s="5">
        <v>15</v>
      </c>
      <c r="G212" s="5" t="s">
        <v>32</v>
      </c>
    </row>
    <row r="213" spans="2:7" x14ac:dyDescent="0.2">
      <c r="B213" s="8" t="s">
        <v>83</v>
      </c>
      <c r="C213" s="8" t="s">
        <v>84</v>
      </c>
      <c r="D213" s="8" t="s">
        <v>85</v>
      </c>
      <c r="E213" s="8"/>
      <c r="F213" s="8">
        <v>10</v>
      </c>
      <c r="G213" s="8" t="s">
        <v>59</v>
      </c>
    </row>
    <row r="214" spans="2:7" x14ac:dyDescent="0.2">
      <c r="B214" s="5" t="s">
        <v>86</v>
      </c>
      <c r="C214" s="5" t="s">
        <v>87</v>
      </c>
      <c r="D214" s="5" t="s">
        <v>88</v>
      </c>
      <c r="E214" s="5">
        <v>700</v>
      </c>
      <c r="F214" s="5">
        <v>50</v>
      </c>
      <c r="G214" s="5" t="s">
        <v>28</v>
      </c>
    </row>
    <row r="215" spans="2:7" x14ac:dyDescent="0.2">
      <c r="B215" s="8" t="s">
        <v>89</v>
      </c>
      <c r="C215" s="8" t="s">
        <v>90</v>
      </c>
      <c r="D215" s="8" t="s">
        <v>91</v>
      </c>
      <c r="E215" s="8">
        <v>80</v>
      </c>
      <c r="F215" s="8">
        <v>20</v>
      </c>
      <c r="G215" s="8" t="s">
        <v>36</v>
      </c>
    </row>
    <row r="216" spans="2:7" x14ac:dyDescent="0.2">
      <c r="B216" s="5" t="s">
        <v>92</v>
      </c>
      <c r="C216" s="5" t="s">
        <v>93</v>
      </c>
      <c r="D216" s="5" t="s">
        <v>94</v>
      </c>
      <c r="E216" s="5">
        <v>150</v>
      </c>
      <c r="F216" s="5">
        <v>30</v>
      </c>
      <c r="G216" s="5"/>
    </row>
    <row r="217" spans="2:7" x14ac:dyDescent="0.2">
      <c r="B217" s="8" t="s">
        <v>72</v>
      </c>
      <c r="C217" s="8" t="s">
        <v>73</v>
      </c>
      <c r="D217" s="8" t="s">
        <v>74</v>
      </c>
      <c r="E217" s="8">
        <v>50</v>
      </c>
      <c r="F217" s="8">
        <v>35</v>
      </c>
      <c r="G217" s="8" t="s">
        <v>75</v>
      </c>
    </row>
    <row r="218" spans="2:7" x14ac:dyDescent="0.2">
      <c r="B218" s="5" t="s">
        <v>95</v>
      </c>
      <c r="C218" s="5" t="s">
        <v>96</v>
      </c>
      <c r="D218" s="5" t="s">
        <v>97</v>
      </c>
      <c r="E218" s="5">
        <v>800</v>
      </c>
      <c r="F218" s="5">
        <v>45</v>
      </c>
      <c r="G218" s="5" t="s">
        <v>28</v>
      </c>
    </row>
    <row r="219" spans="2:7" x14ac:dyDescent="0.2">
      <c r="B219" s="8" t="s">
        <v>98</v>
      </c>
      <c r="C219" s="8" t="s">
        <v>81</v>
      </c>
      <c r="D219" s="8" t="s">
        <v>99</v>
      </c>
      <c r="E219" s="8"/>
      <c r="F219" s="8">
        <v>25</v>
      </c>
      <c r="G219" s="8" t="s">
        <v>32</v>
      </c>
    </row>
    <row r="220" spans="2:7" x14ac:dyDescent="0.2">
      <c r="B220" s="5" t="s">
        <v>100</v>
      </c>
      <c r="C220" s="5" t="s">
        <v>51</v>
      </c>
      <c r="D220" s="5" t="s">
        <v>101</v>
      </c>
      <c r="E220" s="5">
        <v>400</v>
      </c>
      <c r="F220" s="5">
        <v>40</v>
      </c>
      <c r="G220" s="5" t="s">
        <v>36</v>
      </c>
    </row>
    <row r="221" spans="2:7" x14ac:dyDescent="0.2">
      <c r="B221" s="8" t="s">
        <v>69</v>
      </c>
      <c r="C221" s="8" t="s">
        <v>70</v>
      </c>
      <c r="D221" s="8" t="s">
        <v>71</v>
      </c>
      <c r="E221" s="8">
        <v>250</v>
      </c>
      <c r="F221" s="8">
        <v>20</v>
      </c>
      <c r="G221" s="8" t="s">
        <v>46</v>
      </c>
    </row>
    <row r="222" spans="2:7" x14ac:dyDescent="0.2">
      <c r="B222" s="5" t="s">
        <v>102</v>
      </c>
      <c r="C222" s="5" t="s">
        <v>103</v>
      </c>
      <c r="D222" s="5" t="s">
        <v>104</v>
      </c>
      <c r="E222" s="5">
        <v>60</v>
      </c>
      <c r="F222" s="5">
        <v>30</v>
      </c>
      <c r="G222" s="5" t="s">
        <v>32</v>
      </c>
    </row>
    <row r="223" spans="2:7" x14ac:dyDescent="0.2">
      <c r="B223" s="8" t="s">
        <v>105</v>
      </c>
      <c r="C223" s="8" t="s">
        <v>106</v>
      </c>
      <c r="D223" s="8" t="s">
        <v>107</v>
      </c>
      <c r="E223" s="8">
        <v>40</v>
      </c>
      <c r="F223" s="8">
        <v>10</v>
      </c>
      <c r="G223" s="8" t="s">
        <v>36</v>
      </c>
    </row>
    <row r="224" spans="2:7" x14ac:dyDescent="0.2">
      <c r="B224" s="5" t="s">
        <v>108</v>
      </c>
      <c r="C224" s="5" t="s">
        <v>93</v>
      </c>
      <c r="D224" s="5" t="s">
        <v>109</v>
      </c>
      <c r="E224" s="5">
        <v>130</v>
      </c>
      <c r="F224" s="5">
        <v>5</v>
      </c>
      <c r="G224" s="5" t="s">
        <v>28</v>
      </c>
    </row>
    <row r="225" spans="2:10" x14ac:dyDescent="0.2">
      <c r="B225" s="8" t="s">
        <v>110</v>
      </c>
      <c r="C225" s="8" t="s">
        <v>111</v>
      </c>
      <c r="D225" s="8" t="s">
        <v>112</v>
      </c>
      <c r="E225" s="8">
        <v>50</v>
      </c>
      <c r="F225" s="8">
        <v>50</v>
      </c>
      <c r="G225" s="8" t="s">
        <v>32</v>
      </c>
    </row>
    <row r="226" spans="2:10" x14ac:dyDescent="0.2">
      <c r="B226" s="5" t="s">
        <v>60</v>
      </c>
      <c r="C226" s="5" t="s">
        <v>61</v>
      </c>
      <c r="D226" s="5" t="s">
        <v>62</v>
      </c>
      <c r="E226" s="5">
        <v>950</v>
      </c>
      <c r="F226" s="5">
        <v>25</v>
      </c>
      <c r="G226" s="5" t="s">
        <v>28</v>
      </c>
    </row>
    <row r="227" spans="2:10" x14ac:dyDescent="0.2">
      <c r="B227" s="8" t="s">
        <v>113</v>
      </c>
      <c r="C227" s="8" t="s">
        <v>114</v>
      </c>
      <c r="D227" s="8" t="s">
        <v>115</v>
      </c>
      <c r="E227" s="8">
        <v>100</v>
      </c>
      <c r="F227" s="8">
        <v>20</v>
      </c>
      <c r="G227" s="8" t="s">
        <v>75</v>
      </c>
    </row>
    <row r="229" spans="2:10" ht="15.75" x14ac:dyDescent="0.25">
      <c r="B229" s="3" t="s">
        <v>18</v>
      </c>
      <c r="C229" s="5"/>
      <c r="D229" s="5"/>
      <c r="E229" s="5"/>
      <c r="F229" s="5"/>
      <c r="G229" s="5"/>
      <c r="H229" s="5"/>
      <c r="I229" s="5"/>
      <c r="J229" s="5"/>
    </row>
    <row r="230" spans="2:10" x14ac:dyDescent="0.2">
      <c r="B230" s="7" t="s">
        <v>19</v>
      </c>
      <c r="C230" s="7" t="s">
        <v>20</v>
      </c>
      <c r="D230" s="7" t="s">
        <v>21</v>
      </c>
      <c r="E230" s="7" t="s">
        <v>22</v>
      </c>
      <c r="F230" s="7" t="s">
        <v>23</v>
      </c>
      <c r="G230" s="7" t="s">
        <v>24</v>
      </c>
    </row>
    <row r="231" spans="2:10" x14ac:dyDescent="0.2">
      <c r="B231" s="5" t="s">
        <v>25</v>
      </c>
      <c r="C231" s="5" t="s">
        <v>26</v>
      </c>
      <c r="D231" s="5" t="s">
        <v>27</v>
      </c>
      <c r="E231" s="5">
        <v>1000</v>
      </c>
      <c r="F231" s="5">
        <v>30</v>
      </c>
      <c r="G231" s="5" t="s">
        <v>28</v>
      </c>
    </row>
    <row r="232" spans="2:10" x14ac:dyDescent="0.2">
      <c r="B232" s="8" t="s">
        <v>29</v>
      </c>
      <c r="C232" s="8" t="s">
        <v>30</v>
      </c>
      <c r="D232" s="8" t="s">
        <v>31</v>
      </c>
      <c r="E232" s="8">
        <v>80</v>
      </c>
      <c r="F232" s="8">
        <v>15</v>
      </c>
      <c r="G232" s="8" t="s">
        <v>32</v>
      </c>
    </row>
    <row r="233" spans="2:10" x14ac:dyDescent="0.2">
      <c r="B233" s="5" t="s">
        <v>33</v>
      </c>
      <c r="C233" s="5" t="s">
        <v>34</v>
      </c>
      <c r="D233" s="5" t="s">
        <v>35</v>
      </c>
      <c r="E233" s="5">
        <v>130</v>
      </c>
      <c r="F233" s="5">
        <v>40</v>
      </c>
      <c r="G233" s="5" t="s">
        <v>36</v>
      </c>
    </row>
    <row r="234" spans="2:10" x14ac:dyDescent="0.2">
      <c r="B234" s="8" t="s">
        <v>37</v>
      </c>
      <c r="C234" s="8" t="s">
        <v>38</v>
      </c>
      <c r="D234" s="8" t="s">
        <v>39</v>
      </c>
      <c r="E234" s="8">
        <v>900</v>
      </c>
      <c r="F234" s="8">
        <v>25</v>
      </c>
      <c r="G234" s="8" t="s">
        <v>28</v>
      </c>
    </row>
    <row r="235" spans="2:10" x14ac:dyDescent="0.2">
      <c r="B235" s="5" t="s">
        <v>40</v>
      </c>
      <c r="C235" s="5" t="s">
        <v>41</v>
      </c>
      <c r="D235" s="5" t="s">
        <v>42</v>
      </c>
      <c r="E235" s="5">
        <v>70</v>
      </c>
      <c r="F235" s="5">
        <v>20</v>
      </c>
      <c r="G235" s="5"/>
    </row>
    <row r="236" spans="2:10" x14ac:dyDescent="0.2">
      <c r="B236" s="8" t="s">
        <v>43</v>
      </c>
      <c r="C236" s="8" t="s">
        <v>44</v>
      </c>
      <c r="D236" s="8" t="s">
        <v>45</v>
      </c>
      <c r="E236" s="8"/>
      <c r="F236" s="8">
        <v>45</v>
      </c>
      <c r="G236" s="8" t="s">
        <v>46</v>
      </c>
    </row>
    <row r="237" spans="2:10" x14ac:dyDescent="0.2">
      <c r="B237" s="5" t="s">
        <v>47</v>
      </c>
      <c r="C237" s="5" t="s">
        <v>48</v>
      </c>
      <c r="D237" s="5" t="s">
        <v>49</v>
      </c>
      <c r="E237" s="5">
        <v>30</v>
      </c>
      <c r="F237" s="5">
        <v>5</v>
      </c>
      <c r="G237" s="5" t="s">
        <v>32</v>
      </c>
    </row>
    <row r="238" spans="2:10" x14ac:dyDescent="0.2">
      <c r="B238" s="8" t="s">
        <v>50</v>
      </c>
      <c r="C238" s="8" t="s">
        <v>51</v>
      </c>
      <c r="D238" s="8" t="s">
        <v>52</v>
      </c>
      <c r="E238" s="8">
        <v>90</v>
      </c>
      <c r="F238" s="8">
        <v>35</v>
      </c>
      <c r="G238" s="8" t="s">
        <v>36</v>
      </c>
    </row>
    <row r="239" spans="2:10" x14ac:dyDescent="0.2">
      <c r="B239" s="5" t="s">
        <v>53</v>
      </c>
      <c r="C239" s="5" t="s">
        <v>54</v>
      </c>
      <c r="D239" s="5" t="s">
        <v>55</v>
      </c>
      <c r="E239" s="5">
        <v>500</v>
      </c>
      <c r="F239" s="5">
        <v>50</v>
      </c>
      <c r="G239" s="5" t="s">
        <v>28</v>
      </c>
    </row>
    <row r="240" spans="2:10" x14ac:dyDescent="0.2">
      <c r="B240" s="8" t="s">
        <v>56</v>
      </c>
      <c r="C240" s="8" t="s">
        <v>57</v>
      </c>
      <c r="D240" s="8" t="s">
        <v>58</v>
      </c>
      <c r="E240" s="8">
        <v>130</v>
      </c>
      <c r="F240" s="8">
        <v>10</v>
      </c>
      <c r="G240" s="8" t="s">
        <v>59</v>
      </c>
    </row>
    <row r="241" spans="2:7" x14ac:dyDescent="0.2">
      <c r="B241" s="5" t="s">
        <v>60</v>
      </c>
      <c r="C241" s="5" t="s">
        <v>61</v>
      </c>
      <c r="D241" s="5" t="s">
        <v>62</v>
      </c>
      <c r="E241" s="5">
        <v>950</v>
      </c>
      <c r="F241" s="5">
        <v>25</v>
      </c>
      <c r="G241" s="5" t="s">
        <v>28</v>
      </c>
    </row>
    <row r="242" spans="2:7" x14ac:dyDescent="0.2">
      <c r="B242" s="8" t="s">
        <v>63</v>
      </c>
      <c r="C242" s="8" t="s">
        <v>30</v>
      </c>
      <c r="D242" s="8" t="s">
        <v>49</v>
      </c>
      <c r="E242" s="8">
        <v>90</v>
      </c>
      <c r="F242" s="8">
        <v>40</v>
      </c>
      <c r="G242" s="8"/>
    </row>
    <row r="243" spans="2:7" x14ac:dyDescent="0.2">
      <c r="B243" s="5" t="s">
        <v>64</v>
      </c>
      <c r="C243" s="5" t="s">
        <v>34</v>
      </c>
      <c r="D243" s="5" t="s">
        <v>65</v>
      </c>
      <c r="E243" s="5">
        <v>120</v>
      </c>
      <c r="F243" s="5">
        <v>35</v>
      </c>
      <c r="G243" s="5"/>
    </row>
    <row r="244" spans="2:7" x14ac:dyDescent="0.2">
      <c r="B244" s="8" t="s">
        <v>66</v>
      </c>
      <c r="C244" s="8" t="s">
        <v>67</v>
      </c>
      <c r="D244" s="8" t="s">
        <v>68</v>
      </c>
      <c r="E244" s="8">
        <v>150</v>
      </c>
      <c r="F244" s="8">
        <v>15</v>
      </c>
      <c r="G244" s="8" t="s">
        <v>46</v>
      </c>
    </row>
    <row r="245" spans="2:7" x14ac:dyDescent="0.2">
      <c r="B245" s="5" t="s">
        <v>69</v>
      </c>
      <c r="C245" s="5" t="s">
        <v>70</v>
      </c>
      <c r="D245" s="5" t="s">
        <v>71</v>
      </c>
      <c r="E245" s="5">
        <v>250</v>
      </c>
      <c r="F245" s="5">
        <v>20</v>
      </c>
      <c r="G245" s="5" t="s">
        <v>46</v>
      </c>
    </row>
    <row r="246" spans="2:7" x14ac:dyDescent="0.2">
      <c r="B246" s="8" t="s">
        <v>72</v>
      </c>
      <c r="C246" s="8" t="s">
        <v>73</v>
      </c>
      <c r="D246" s="8" t="s">
        <v>74</v>
      </c>
      <c r="E246" s="8">
        <v>50</v>
      </c>
      <c r="F246" s="8">
        <v>35</v>
      </c>
      <c r="G246" s="8" t="s">
        <v>75</v>
      </c>
    </row>
    <row r="247" spans="2:7" x14ac:dyDescent="0.2">
      <c r="B247" s="5" t="s">
        <v>76</v>
      </c>
      <c r="C247" s="5" t="s">
        <v>67</v>
      </c>
      <c r="D247" s="5" t="s">
        <v>77</v>
      </c>
      <c r="E247" s="5">
        <v>160</v>
      </c>
      <c r="F247" s="5">
        <v>15</v>
      </c>
      <c r="G247" s="5" t="s">
        <v>46</v>
      </c>
    </row>
    <row r="248" spans="2:7" x14ac:dyDescent="0.2">
      <c r="B248" s="8" t="s">
        <v>78</v>
      </c>
      <c r="C248" s="8" t="s">
        <v>26</v>
      </c>
      <c r="D248" s="8" t="s">
        <v>79</v>
      </c>
      <c r="E248" s="8">
        <v>980</v>
      </c>
      <c r="F248" s="8">
        <v>10</v>
      </c>
      <c r="G248" s="8" t="s">
        <v>28</v>
      </c>
    </row>
    <row r="249" spans="2:7" x14ac:dyDescent="0.2">
      <c r="B249" s="5" t="s">
        <v>80</v>
      </c>
      <c r="C249" s="5" t="s">
        <v>81</v>
      </c>
      <c r="D249" s="5" t="s">
        <v>82</v>
      </c>
      <c r="E249" s="5">
        <v>150</v>
      </c>
      <c r="F249" s="5">
        <v>15</v>
      </c>
      <c r="G249" s="5" t="s">
        <v>32</v>
      </c>
    </row>
    <row r="250" spans="2:7" x14ac:dyDescent="0.2">
      <c r="B250" s="8" t="s">
        <v>83</v>
      </c>
      <c r="C250" s="8" t="s">
        <v>84</v>
      </c>
      <c r="D250" s="8" t="s">
        <v>85</v>
      </c>
      <c r="E250" s="8"/>
      <c r="F250" s="8">
        <v>10</v>
      </c>
      <c r="G250" s="8" t="s">
        <v>59</v>
      </c>
    </row>
    <row r="251" spans="2:7" x14ac:dyDescent="0.2">
      <c r="B251" s="5" t="s">
        <v>86</v>
      </c>
      <c r="C251" s="5" t="s">
        <v>87</v>
      </c>
      <c r="D251" s="5" t="s">
        <v>88</v>
      </c>
      <c r="E251" s="5">
        <v>700</v>
      </c>
      <c r="F251" s="5">
        <v>50</v>
      </c>
      <c r="G251" s="5" t="s">
        <v>28</v>
      </c>
    </row>
    <row r="252" spans="2:7" x14ac:dyDescent="0.2">
      <c r="B252" s="8" t="s">
        <v>89</v>
      </c>
      <c r="C252" s="8" t="s">
        <v>90</v>
      </c>
      <c r="D252" s="8" t="s">
        <v>91</v>
      </c>
      <c r="E252" s="8">
        <v>80</v>
      </c>
      <c r="F252" s="8">
        <v>20</v>
      </c>
      <c r="G252" s="8" t="s">
        <v>36</v>
      </c>
    </row>
    <row r="253" spans="2:7" x14ac:dyDescent="0.2">
      <c r="B253" s="5" t="s">
        <v>92</v>
      </c>
      <c r="C253" s="5" t="s">
        <v>93</v>
      </c>
      <c r="D253" s="5" t="s">
        <v>94</v>
      </c>
      <c r="E253" s="5">
        <v>150</v>
      </c>
      <c r="F253" s="5">
        <v>30</v>
      </c>
      <c r="G253" s="5"/>
    </row>
    <row r="254" spans="2:7" x14ac:dyDescent="0.2">
      <c r="B254" s="8" t="s">
        <v>72</v>
      </c>
      <c r="C254" s="8" t="s">
        <v>73</v>
      </c>
      <c r="D254" s="8" t="s">
        <v>74</v>
      </c>
      <c r="E254" s="8">
        <v>50</v>
      </c>
      <c r="F254" s="8">
        <v>35</v>
      </c>
      <c r="G254" s="8" t="s">
        <v>75</v>
      </c>
    </row>
    <row r="255" spans="2:7" x14ac:dyDescent="0.2">
      <c r="B255" s="5" t="s">
        <v>95</v>
      </c>
      <c r="C255" s="5" t="s">
        <v>96</v>
      </c>
      <c r="D255" s="5" t="s">
        <v>97</v>
      </c>
      <c r="E255" s="5">
        <v>800</v>
      </c>
      <c r="F255" s="5">
        <v>45</v>
      </c>
      <c r="G255" s="5" t="s">
        <v>28</v>
      </c>
    </row>
    <row r="256" spans="2:7" x14ac:dyDescent="0.2">
      <c r="B256" s="8" t="s">
        <v>98</v>
      </c>
      <c r="C256" s="8" t="s">
        <v>81</v>
      </c>
      <c r="D256" s="8" t="s">
        <v>99</v>
      </c>
      <c r="E256" s="8"/>
      <c r="F256" s="8">
        <v>25</v>
      </c>
      <c r="G256" s="8" t="s">
        <v>32</v>
      </c>
    </row>
    <row r="257" spans="2:7" x14ac:dyDescent="0.2">
      <c r="B257" s="5" t="s">
        <v>100</v>
      </c>
      <c r="C257" s="5" t="s">
        <v>51</v>
      </c>
      <c r="D257" s="5" t="s">
        <v>101</v>
      </c>
      <c r="E257" s="5">
        <v>400</v>
      </c>
      <c r="F257" s="5">
        <v>40</v>
      </c>
      <c r="G257" s="5" t="s">
        <v>36</v>
      </c>
    </row>
    <row r="258" spans="2:7" x14ac:dyDescent="0.2">
      <c r="B258" s="8" t="s">
        <v>69</v>
      </c>
      <c r="C258" s="8" t="s">
        <v>70</v>
      </c>
      <c r="D258" s="8" t="s">
        <v>71</v>
      </c>
      <c r="E258" s="8">
        <v>250</v>
      </c>
      <c r="F258" s="8">
        <v>20</v>
      </c>
      <c r="G258" s="8" t="s">
        <v>46</v>
      </c>
    </row>
    <row r="259" spans="2:7" x14ac:dyDescent="0.2">
      <c r="B259" s="5" t="s">
        <v>102</v>
      </c>
      <c r="C259" s="5" t="s">
        <v>103</v>
      </c>
      <c r="D259" s="5" t="s">
        <v>104</v>
      </c>
      <c r="E259" s="5">
        <v>60</v>
      </c>
      <c r="F259" s="5">
        <v>30</v>
      </c>
      <c r="G259" s="5" t="s">
        <v>32</v>
      </c>
    </row>
    <row r="260" spans="2:7" x14ac:dyDescent="0.2">
      <c r="B260" s="8" t="s">
        <v>105</v>
      </c>
      <c r="C260" s="8" t="s">
        <v>106</v>
      </c>
      <c r="D260" s="8" t="s">
        <v>107</v>
      </c>
      <c r="E260" s="8">
        <v>40</v>
      </c>
      <c r="F260" s="8">
        <v>10</v>
      </c>
      <c r="G260" s="8" t="s">
        <v>36</v>
      </c>
    </row>
    <row r="261" spans="2:7" x14ac:dyDescent="0.2">
      <c r="B261" s="5" t="s">
        <v>108</v>
      </c>
      <c r="C261" s="5" t="s">
        <v>93</v>
      </c>
      <c r="D261" s="5" t="s">
        <v>109</v>
      </c>
      <c r="E261" s="5">
        <v>130</v>
      </c>
      <c r="F261" s="5">
        <v>5</v>
      </c>
      <c r="G261" s="5" t="s">
        <v>28</v>
      </c>
    </row>
    <row r="262" spans="2:7" x14ac:dyDescent="0.2">
      <c r="B262" s="8" t="s">
        <v>110</v>
      </c>
      <c r="C262" s="8" t="s">
        <v>111</v>
      </c>
      <c r="D262" s="8" t="s">
        <v>112</v>
      </c>
      <c r="E262" s="8">
        <v>50</v>
      </c>
      <c r="F262" s="8">
        <v>50</v>
      </c>
      <c r="G262" s="8" t="s">
        <v>32</v>
      </c>
    </row>
    <row r="263" spans="2:7" x14ac:dyDescent="0.2">
      <c r="B263" s="5" t="s">
        <v>60</v>
      </c>
      <c r="C263" s="5" t="s">
        <v>61</v>
      </c>
      <c r="D263" s="5" t="s">
        <v>62</v>
      </c>
      <c r="E263" s="5">
        <v>950</v>
      </c>
      <c r="F263" s="5">
        <v>25</v>
      </c>
      <c r="G263" s="5" t="s">
        <v>28</v>
      </c>
    </row>
    <row r="264" spans="2:7" x14ac:dyDescent="0.2">
      <c r="B264" s="8" t="s">
        <v>113</v>
      </c>
      <c r="C264" s="8" t="s">
        <v>114</v>
      </c>
      <c r="D264" s="8" t="s">
        <v>115</v>
      </c>
      <c r="E264" s="8">
        <v>100</v>
      </c>
      <c r="F264" s="8">
        <v>20</v>
      </c>
      <c r="G264" s="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GOUSE BASHA</cp:lastModifiedBy>
  <dcterms:modified xsi:type="dcterms:W3CDTF">2026-09-24T10:05:59Z</dcterms:modified>
</cp:coreProperties>
</file>