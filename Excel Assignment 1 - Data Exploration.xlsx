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ha\Downloads\"/>
    </mc:Choice>
  </mc:AlternateContent>
  <xr:revisionPtr revIDLastSave="0" documentId="13_ncr:1_{A0103010-57C0-4C67-B2BE-2DE3798FEC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1" i="2" l="1"/>
  <c r="I21" i="2"/>
  <c r="O2" i="2"/>
  <c r="I16" i="2"/>
  <c r="L2" i="2"/>
  <c r="I14" i="2"/>
  <c r="L3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J20" i="2"/>
  <c r="J19" i="2"/>
  <c r="I20" i="2"/>
  <c r="I19" i="2"/>
  <c r="I9" i="2"/>
  <c r="I8" i="2"/>
  <c r="I6" i="2"/>
  <c r="I5" i="2"/>
  <c r="I4" i="2"/>
</calcChain>
</file>

<file path=xl/sharedStrings.xml><?xml version="1.0" encoding="utf-8"?>
<sst xmlns="http://schemas.openxmlformats.org/spreadsheetml/2006/main" count="172" uniqueCount="122">
  <si>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</si>
  <si>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</si>
  <si>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</si>
  <si>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</si>
  <si>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</si>
  <si>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</si>
  <si>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</si>
  <si>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</si>
  <si>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</si>
  <si>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</si>
  <si>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</si>
  <si>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</si>
  <si>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</si>
  <si>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</si>
  <si>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</si>
  <si>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</si>
  <si>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</si>
  <si>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</si>
  <si>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</si>
  <si>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</si>
  <si>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</si>
  <si>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</si>
  <si>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</si>
  <si>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</si>
  <si>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</si>
  <si>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</si>
  <si>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</si>
  <si>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</si>
  <si>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</si>
  <si>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</si>
  <si>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</si>
  <si>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</si>
  <si>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</si>
  <si>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</si>
  <si>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</si>
  <si>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</si>
  <si>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</si>
  <si>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</si>
  <si>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</si>
  <si>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</si>
  <si>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</si>
  <si>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</si>
  <si>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</si>
  <si>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</si>
  <si>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</si>
  <si>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</si>
  <si>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</si>
  <si>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</si>
  <si>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</si>
  <si>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</si>
  <si>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</si>
  <si>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</si>
  <si>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</si>
  <si>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</si>
  <si>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</si>
  <si>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</si>
  <si>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</si>
  <si>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</si>
  <si>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</si>
  <si>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</si>
  <si>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</si>
  <si>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</si>
  <si>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</si>
  <si>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</si>
  <si>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</si>
  <si>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</si>
  <si>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</si>
  <si>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</si>
  <si>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</si>
  <si>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</si>
  <si>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</si>
  <si>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</si>
  <si>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</si>
  <si>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</si>
  <si>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</si>
  <si>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</si>
  <si>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</si>
  <si>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</si>
  <si>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</si>
  <si>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</si>
  <si>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</si>
  <si>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</si>
  <si>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</si>
  <si>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</si>
  <si>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</si>
  <si>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</si>
  <si>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</si>
  <si>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</si>
  <si>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</si>
  <si>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</si>
  <si>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</si>
  <si>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</si>
  <si>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</si>
  <si>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</si>
  <si>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</si>
  <si>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</si>
  <si>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</si>
  <si>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</si>
  <si>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</si>
  <si>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</si>
  <si>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</si>
  <si>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</si>
  <si>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</si>
  <si>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</si>
  <si>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</si>
  <si>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</si>
  <si>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</si>
  <si>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</si>
  <si>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</si>
  <si>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</si>
  <si>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1A</t>
  </si>
  <si>
    <t>1C</t>
  </si>
  <si>
    <t>1B</t>
  </si>
  <si>
    <t>ANS</t>
  </si>
  <si>
    <t>2A</t>
  </si>
  <si>
    <t>2B</t>
  </si>
  <si>
    <t>3A</t>
  </si>
  <si>
    <t>4A</t>
  </si>
  <si>
    <t>5A</t>
  </si>
  <si>
    <t>5B</t>
  </si>
  <si>
    <t>5C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</si>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</sst>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 Unicode MS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:K22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11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workbookViewId="0">
      <selection activeCell="D21" sqref="D21"/>
    </sheetView>
  </sheetViews>
  <sheetFormatPr defaultColWidth="12.5703125" defaultRowHeight="15" customHeight="1"/>
  <cols>
    <col min="1" max="1" width="12.5703125" customWidth="1"/>
    <col min="2" max="2" width="14.140625" customWidth="1"/>
    <col min="3" max="7" width="12.5703125" customWidth="1"/>
    <col min="12" max="12" width="17.42578125" bestFit="1" customWidth="1"/>
  </cols>
  <sheetData>
    <row r="1" spans="1:15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/>
      <c r="H1" s="6"/>
      <c r="K1" t="s">
        <v>116</v>
      </c>
      <c r="N1" t="s">
        <v>121</v>
      </c>
    </row>
    <row r="2" spans="1:15" ht="15.75" customHeight="1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s="7"/>
      <c r="K2" s="7">
        <v>1000</v>
      </c>
      <c r="L2" t="str">
        <f>IF(K2&gt;500,"HIGH PRICE ","STANDARD PRICE")</f>
        <v xml:space="preserve">HIGH PRICE </v>
      </c>
      <c r="N2" s="7">
        <v>1000</v>
      </c>
      <c r="O2" s="10">
        <f>COUNTIF(N2:N35,"&lt;100")</f>
        <v>11</v>
      </c>
    </row>
    <row r="3" spans="1:15" ht="15.75" customHeight="1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/>
      <c r="H3" s="7" t="s">
        <v>113</v>
      </c>
      <c r="K3" s="8">
        <v>80</v>
      </c>
      <c r="L3" t="str">
        <f t="shared" ref="L3:L34" si="0">IF(K3&gt;500,"HIGH PRICE ","STANDARD PRICE")</f>
        <v>STANDARD PRICE</v>
      </c>
      <c r="N3" s="8">
        <v>80</v>
      </c>
    </row>
    <row r="4" spans="1:15" ht="15.75" customHeight="1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H4" s="7" t="s">
        <v>110</v>
      </c>
      <c r="I4">
        <f>SUM(D2:D35)</f>
        <v>10100</v>
      </c>
      <c r="K4" s="7">
        <v>130</v>
      </c>
      <c r="L4" t="str">
        <f t="shared" si="0"/>
        <v>STANDARD PRICE</v>
      </c>
      <c r="N4" s="7">
        <v>130</v>
      </c>
    </row>
    <row r="5" spans="1:15" ht="15.75" customHeight="1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/>
      <c r="H5" s="7" t="s">
        <v>112</v>
      </c>
      <c r="I5">
        <f>COUNTA(B2:B35)</f>
        <v>34</v>
      </c>
      <c r="K5" s="8">
        <v>900</v>
      </c>
      <c r="L5" t="str">
        <f t="shared" si="0"/>
        <v xml:space="preserve">HIGH PRICE </v>
      </c>
      <c r="N5" s="8">
        <v>900</v>
      </c>
    </row>
    <row r="6" spans="1:15" ht="15.75" customHeight="1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 s="7" t="s">
        <v>111</v>
      </c>
      <c r="I6">
        <f>AVERAGE(D2:D35)</f>
        <v>297.05882352941177</v>
      </c>
      <c r="K6" s="7">
        <v>70</v>
      </c>
      <c r="L6" t="str">
        <f t="shared" si="0"/>
        <v>STANDARD PRICE</v>
      </c>
      <c r="N6" s="7">
        <v>70</v>
      </c>
    </row>
    <row r="7" spans="1:15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/>
      <c r="H7" s="7"/>
      <c r="K7" s="8">
        <v>200</v>
      </c>
      <c r="L7" t="str">
        <f t="shared" si="0"/>
        <v>STANDARD PRICE</v>
      </c>
      <c r="N7" s="8">
        <v>200</v>
      </c>
    </row>
    <row r="8" spans="1:15" ht="15.75" customHeight="1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H8" s="7" t="s">
        <v>114</v>
      </c>
      <c r="I8">
        <f>MIN(D2:D35)</f>
        <v>30</v>
      </c>
      <c r="K8" s="7">
        <v>30</v>
      </c>
      <c r="L8" t="str">
        <f t="shared" si="0"/>
        <v>STANDARD PRICE</v>
      </c>
      <c r="N8" s="7">
        <v>30</v>
      </c>
    </row>
    <row r="9" spans="1:15" ht="15.75" customHeight="1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/>
      <c r="H9" s="7" t="s">
        <v>115</v>
      </c>
      <c r="I9">
        <f>MAX(D2:D35)</f>
        <v>1000</v>
      </c>
      <c r="K9" s="8">
        <v>90</v>
      </c>
      <c r="L9" t="str">
        <f t="shared" si="0"/>
        <v>STANDARD PRICE</v>
      </c>
      <c r="N9" s="8">
        <v>90</v>
      </c>
    </row>
    <row r="10" spans="1:15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H10" s="7"/>
      <c r="K10" s="7">
        <v>500</v>
      </c>
      <c r="L10" t="str">
        <f t="shared" si="0"/>
        <v>STANDARD PRICE</v>
      </c>
      <c r="N10" s="7">
        <v>500</v>
      </c>
    </row>
    <row r="11" spans="1:15" ht="15.75" customHeight="1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/>
      <c r="H11" s="7"/>
      <c r="K11" s="8">
        <v>130</v>
      </c>
      <c r="L11" t="str">
        <f t="shared" si="0"/>
        <v>STANDARD PRICE</v>
      </c>
      <c r="N11" s="8">
        <v>130</v>
      </c>
    </row>
    <row r="12" spans="1:15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  <c r="H12" s="7"/>
      <c r="K12" s="7">
        <v>950</v>
      </c>
      <c r="L12" t="str">
        <f t="shared" si="0"/>
        <v xml:space="preserve">HIGH PRICE </v>
      </c>
      <c r="N12" s="7">
        <v>950</v>
      </c>
    </row>
    <row r="13" spans="1:15" ht="15.75" customHeight="1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/>
      <c r="H13" s="7"/>
      <c r="K13" s="8">
        <v>90</v>
      </c>
      <c r="L13" t="str">
        <f t="shared" si="0"/>
        <v>STANDARD PRICE</v>
      </c>
      <c r="N13" s="8">
        <v>90</v>
      </c>
    </row>
    <row r="14" spans="1:15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  <c r="H14" s="7" t="s">
        <v>117</v>
      </c>
      <c r="I14">
        <f>SUMIF(F2:F35,F10,D2:D35)</f>
        <v>8050</v>
      </c>
      <c r="K14" s="7">
        <v>120</v>
      </c>
      <c r="L14" t="str">
        <f t="shared" si="0"/>
        <v>STANDARD PRICE</v>
      </c>
      <c r="N14" s="7">
        <v>120</v>
      </c>
    </row>
    <row r="15" spans="1:15" ht="15.75" customHeight="1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/>
      <c r="H15" s="7"/>
      <c r="K15" s="8">
        <v>150</v>
      </c>
      <c r="L15" t="str">
        <f t="shared" si="0"/>
        <v>STANDARD PRICE</v>
      </c>
      <c r="N15" s="8">
        <v>150</v>
      </c>
    </row>
    <row r="16" spans="1:15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  <c r="H16" s="7" t="s">
        <v>121</v>
      </c>
      <c r="I16">
        <f>COUNTIF(D2:D35,"&lt;100")</f>
        <v>11</v>
      </c>
      <c r="K16" s="7">
        <v>250</v>
      </c>
      <c r="L16" t="str">
        <f t="shared" si="0"/>
        <v>STANDARD PRICE</v>
      </c>
      <c r="N16" s="7">
        <v>250</v>
      </c>
    </row>
    <row r="17" spans="1:14" ht="15.75" customHeight="1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/>
      <c r="H17" s="7"/>
      <c r="K17" s="8">
        <v>50</v>
      </c>
      <c r="L17" t="str">
        <f t="shared" si="0"/>
        <v>STANDARD PRICE</v>
      </c>
      <c r="N17" s="8">
        <v>50</v>
      </c>
    </row>
    <row r="18" spans="1:14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  <c r="H18" s="7"/>
      <c r="K18" s="7">
        <v>160</v>
      </c>
      <c r="L18" t="str">
        <f t="shared" si="0"/>
        <v>STANDARD PRICE</v>
      </c>
      <c r="N18" s="7">
        <v>160</v>
      </c>
    </row>
    <row r="19" spans="1:14" ht="15.75" customHeight="1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8"/>
      <c r="H19" s="7" t="s">
        <v>118</v>
      </c>
      <c r="I19" t="str">
        <f>LEFT(A2,2)</f>
        <v>28</v>
      </c>
      <c r="J19" t="str">
        <f>LEFT(A3,2)</f>
        <v>15</v>
      </c>
      <c r="K19" s="8">
        <v>980</v>
      </c>
      <c r="L19" t="str">
        <f t="shared" si="0"/>
        <v xml:space="preserve">HIGH PRICE </v>
      </c>
      <c r="N19" s="8">
        <v>980</v>
      </c>
    </row>
    <row r="20" spans="1:14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  <c r="H20" s="7" t="s">
        <v>119</v>
      </c>
      <c r="I20" t="str">
        <f>RIGHT(A2,2)</f>
        <v>US</v>
      </c>
      <c r="J20" t="str">
        <f>RIGHT(A3,2)</f>
        <v>US</v>
      </c>
      <c r="K20" s="7">
        <v>150</v>
      </c>
      <c r="L20" t="str">
        <f t="shared" si="0"/>
        <v>STANDARD PRICE</v>
      </c>
      <c r="N20" s="7">
        <v>150</v>
      </c>
    </row>
    <row r="21" spans="1:14" ht="15.75" customHeight="1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/>
      <c r="H21" s="7" t="s">
        <v>120</v>
      </c>
      <c r="I21" t="str">
        <f>MID(A4, 4, 3)</f>
        <v>MAR</v>
      </c>
      <c r="J21" t="str">
        <f>MID(A6,4,3)</f>
        <v>MAY</v>
      </c>
      <c r="K21" s="8">
        <v>200</v>
      </c>
      <c r="L21" t="str">
        <f t="shared" si="0"/>
        <v>STANDARD PRICE</v>
      </c>
      <c r="N21" s="8">
        <v>200</v>
      </c>
    </row>
    <row r="22" spans="1:14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  <c r="H22" s="7"/>
      <c r="K22" s="7">
        <v>700</v>
      </c>
      <c r="L22" t="str">
        <f t="shared" si="0"/>
        <v xml:space="preserve">HIGH PRICE </v>
      </c>
      <c r="N22" s="7">
        <v>700</v>
      </c>
    </row>
    <row r="23" spans="1:14" ht="15.75" customHeight="1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/>
      <c r="H23" s="7"/>
      <c r="K23" s="8">
        <v>80</v>
      </c>
      <c r="L23" t="str">
        <f t="shared" si="0"/>
        <v>STANDARD PRICE</v>
      </c>
      <c r="N23" s="8">
        <v>80</v>
      </c>
    </row>
    <row r="24" spans="1:14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H24" s="7"/>
      <c r="K24" s="7">
        <v>150</v>
      </c>
      <c r="L24" t="str">
        <f t="shared" si="0"/>
        <v>STANDARD PRICE</v>
      </c>
      <c r="N24" s="7">
        <v>150</v>
      </c>
    </row>
    <row r="25" spans="1:14" ht="15.75" customHeight="1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8"/>
      <c r="H25" s="9"/>
      <c r="K25" s="8">
        <v>50</v>
      </c>
      <c r="L25" t="str">
        <f t="shared" si="0"/>
        <v>STANDARD PRICE</v>
      </c>
      <c r="N25" s="8">
        <v>50</v>
      </c>
    </row>
    <row r="26" spans="1:14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  <c r="H26" s="7"/>
      <c r="K26" s="7">
        <v>800</v>
      </c>
      <c r="L26" t="str">
        <f t="shared" si="0"/>
        <v xml:space="preserve">HIGH PRICE </v>
      </c>
      <c r="N26" s="7">
        <v>800</v>
      </c>
    </row>
    <row r="27" spans="1:14" ht="15.75" customHeight="1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/>
      <c r="H27" s="7"/>
      <c r="K27" s="8">
        <v>130</v>
      </c>
      <c r="L27" t="str">
        <f t="shared" si="0"/>
        <v>STANDARD PRICE</v>
      </c>
      <c r="N27" s="8">
        <v>130</v>
      </c>
    </row>
    <row r="28" spans="1:14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H28" s="7"/>
      <c r="K28" s="7">
        <v>400</v>
      </c>
      <c r="L28" t="str">
        <f t="shared" si="0"/>
        <v>STANDARD PRICE</v>
      </c>
      <c r="N28" s="7">
        <v>400</v>
      </c>
    </row>
    <row r="29" spans="1:14" ht="15.75" customHeight="1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/>
      <c r="H29" s="9"/>
      <c r="K29" s="8">
        <v>230</v>
      </c>
      <c r="L29" t="str">
        <f t="shared" si="0"/>
        <v>STANDARD PRICE</v>
      </c>
      <c r="N29" s="8">
        <v>230</v>
      </c>
    </row>
    <row r="30" spans="1:14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  <c r="H30" s="7"/>
      <c r="K30" s="7">
        <v>60</v>
      </c>
      <c r="L30" t="str">
        <f t="shared" si="0"/>
        <v>STANDARD PRICE</v>
      </c>
      <c r="N30" s="7">
        <v>60</v>
      </c>
    </row>
    <row r="31" spans="1:14" ht="15.75" customHeight="1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8"/>
      <c r="H31" s="7"/>
      <c r="K31" s="8">
        <v>40</v>
      </c>
      <c r="L31" t="str">
        <f t="shared" si="0"/>
        <v>STANDARD PRICE</v>
      </c>
      <c r="N31" s="8">
        <v>40</v>
      </c>
    </row>
    <row r="32" spans="1:14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H32" s="7"/>
      <c r="K32" s="7">
        <v>130</v>
      </c>
      <c r="L32" t="str">
        <f t="shared" si="0"/>
        <v>STANDARD PRICE</v>
      </c>
      <c r="N32" s="7">
        <v>130</v>
      </c>
    </row>
    <row r="33" spans="1:14" ht="15.75" customHeight="1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/>
      <c r="H33" s="7"/>
      <c r="K33" s="8">
        <v>50</v>
      </c>
      <c r="L33" t="str">
        <f t="shared" si="0"/>
        <v>STANDARD PRICE</v>
      </c>
      <c r="N33" s="8">
        <v>50</v>
      </c>
    </row>
    <row r="34" spans="1:14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H34" s="7"/>
      <c r="K34" s="7">
        <v>950</v>
      </c>
      <c r="L34" t="str">
        <f t="shared" si="0"/>
        <v xml:space="preserve">HIGH PRICE </v>
      </c>
      <c r="N34" s="7">
        <v>950</v>
      </c>
    </row>
    <row r="35" spans="1:14" ht="15.75" customHeight="1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/>
      <c r="H35" s="7"/>
      <c r="K35" s="8">
        <v>100</v>
      </c>
      <c r="L35" t="str">
        <f>IF(K35&gt;500,"HIGH PRICE ","STANDARD PRICE")</f>
        <v>STANDARD PRICE</v>
      </c>
      <c r="N35" s="8">
        <v>100</v>
      </c>
    </row>
    <row r="36" spans="1:14" ht="15.75" customHeight="1"/>
    <row r="37" spans="1:14" ht="15.75" customHeight="1"/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GOUSE BASHA</cp:lastModifiedBy>
  <dcterms:modified xsi:type="dcterms:W3CDTF">2026-09-11T14:47:31Z</dcterms:modified>
</cp:coreProperties>
</file>